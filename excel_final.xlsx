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ssemgul\Desktop\final_project\"/>
    </mc:Choice>
  </mc:AlternateContent>
  <xr:revisionPtr revIDLastSave="0" documentId="13_ncr:1_{4620C30D-E7EF-4765-9650-986DF338AA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3" sheetId="10" r:id="rId1"/>
    <sheet name="Лист4" sheetId="11" r:id="rId2"/>
    <sheet name="Слияние1" sheetId="6" r:id="rId3"/>
    <sheet name="Лист2 (2)" sheetId="5" r:id="rId4"/>
    <sheet name="Лист1 (2)" sheetId="4" r:id="rId5"/>
    <sheet name="Лист1" sheetId="1" r:id="rId6"/>
    <sheet name="Лист2" sheetId="2" r:id="rId7"/>
  </sheets>
  <definedNames>
    <definedName name="ExternalData_1" localSheetId="4" hidden="1">'Лист1 (2)'!$A$1:$X$1000</definedName>
    <definedName name="ExternalData_2" localSheetId="3" hidden="1">'Лист2 (2)'!$A$1:$E$1000</definedName>
    <definedName name="ExternalData_3" localSheetId="2" hidden="1">Слияние1!$A$1:$J$505</definedName>
  </definedName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3VgOpKj0LI773MeeqSkWfF1GFyRyFpMSmwpz4xgUMs="/>
    </ext>
  </extLst>
</workbook>
</file>

<file path=xl/calcChain.xml><?xml version="1.0" encoding="utf-8"?>
<calcChain xmlns="http://schemas.openxmlformats.org/spreadsheetml/2006/main"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097FE6-FDF8-4400-8727-884EE0C96132}" keepAlive="1" name="Запрос — Лист1" description="Соединение с запросом &quot;Лист1&quot; в книге." type="5" refreshedVersion="8" background="1" saveData="1">
    <dbPr connection="Provider=Microsoft.Mashup.OleDb.1;Data Source=$Workbook$;Location=Лист1;Extended Properties=&quot;&quot;" command="SELECT * FROM [Лист1]"/>
  </connection>
  <connection id="2" xr16:uid="{68236B2B-48CB-4831-B8B3-D2FBA048C576}" keepAlive="1" name="Запрос — Лист2" description="Соединение с запросом &quot;Лист2&quot; в книге." type="5" refreshedVersion="8" background="1" saveData="1">
    <dbPr connection="Provider=Microsoft.Mashup.OleDb.1;Data Source=$Workbook$;Location=Лист2;Extended Properties=&quot;&quot;" command="SELECT * FROM [Лист2]"/>
  </connection>
  <connection id="3" xr16:uid="{F0CDD81D-E0A7-4E24-95C0-5DB2169015A3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</connections>
</file>

<file path=xl/sharedStrings.xml><?xml version="1.0" encoding="utf-8"?>
<sst xmlns="http://schemas.openxmlformats.org/spreadsheetml/2006/main" count="3108" uniqueCount="58">
  <si>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</si>
  <si>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</si>
  <si>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</si>
  <si>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</si>
  <si>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</si>
  <si>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</si>
  <si>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</si>
  <si>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</si>
  <si>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</si>
  <si>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</si>
  <si>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</si>
  <si>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</si>
  <si>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</si>
  <si>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</si>
  <si>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</si>
  <si>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</si>
  <si>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</si>
  <si>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</si>
  <si>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</si>
  <si>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</si>
  <si>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</si>
  <si>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</si>
  <si>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</si>
  <si>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</si>
  <si>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</si>
  <si>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</si>
  <si>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</si>
  <si>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</si>
  <si>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</si>
  <si>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</si>
  <si>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</si>
  <si>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</si>
  <si>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</si>
  <si>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</si>
  <si>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</si>
  <si>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</si>
  <si>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</si>
  <si>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</si>
  <si>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</si>
  <si>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</si>
  <si>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</si>
  <si>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</si>
  <si>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Название недели</t>
  </si>
  <si>
    <t>Воскресенье</t>
  </si>
  <si>
    <t>Вторник</t>
  </si>
  <si>
    <t>Суббота</t>
  </si>
  <si>
    <t>Четверг</t>
  </si>
  <si>
    <t>Понедельник</t>
  </si>
  <si>
    <t>Среда</t>
  </si>
  <si>
    <t>Пятница</t>
  </si>
  <si>
    <t>Названия строк</t>
  </si>
  <si>
    <t>Общий итог</t>
  </si>
  <si>
    <t>Сумма по полю Товарооборот, руб</t>
  </si>
  <si>
    <t>Доля</t>
  </si>
  <si>
    <t>Сумма по полю Доля</t>
  </si>
  <si>
    <t>Неделя года</t>
  </si>
  <si>
    <t>товароборот на склад</t>
  </si>
  <si>
    <t>Сумма по полю товароборот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</si>
</sst>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8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left" indent="1"/>
    </xf>
  </cellXfs>
  <cellStyles count="2">
    <cellStyle name="Обычный" xfId="0" builtinId="0"/>
    <cellStyle name="Процентный" xfId="1" builtinId="5"/>
  </cellStyles>
  <dxfs count="13">
    <dxf>
      <fill>
        <patternFill>
          <bgColor theme="4" tint="0.39994506668294322"/>
        </patternFill>
      </fill>
    </dxf>
    <dxf>
      <numFmt numFmtId="14" formatCode="0.00%"/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[excel_final.xlsx]Лист4!Сводная таблица2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087909324911241E-2"/>
          <c:y val="8.5749367784358363E-2"/>
          <c:w val="0.7121633012620493"/>
          <c:h val="0.71035673854889181"/>
        </c:manualLayout>
      </c:layout>
      <c:lineChart>
        <c:grouping val="standard"/>
        <c:varyColors val="0"/>
        <c:ser>
          <c:idx val="0"/>
          <c:order val="0"/>
          <c:tx>
            <c:strRef>
              <c:f>Лист4!$B$3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Лист4!$A$4:$A$11</c:f>
              <c:multiLvlStrCache>
                <c:ptCount val="6"/>
                <c:lvl>
                  <c:pt idx="0">
                    <c:v>18</c:v>
                  </c:pt>
                  <c:pt idx="1">
                    <c:v>19</c:v>
                  </c:pt>
                  <c:pt idx="2">
                    <c:v>20</c:v>
                  </c:pt>
                  <c:pt idx="3">
                    <c:v>21</c:v>
                  </c:pt>
                  <c:pt idx="4">
                    <c:v>22</c:v>
                  </c:pt>
                  <c:pt idx="5">
                    <c:v>23</c:v>
                  </c:pt>
                </c:lvl>
                <c:lvl>
                  <c:pt idx="0">
                    <c:v>Волгоград</c:v>
                  </c:pt>
                </c:lvl>
              </c:multiLvlStrCache>
            </c:multiLvlStrRef>
          </c:cat>
          <c:val>
            <c:numRef>
              <c:f>Лист4!$B$4:$B$11</c:f>
              <c:numCache>
                <c:formatCode>General</c:formatCode>
                <c:ptCount val="6"/>
                <c:pt idx="0">
                  <c:v>36934095</c:v>
                </c:pt>
                <c:pt idx="1">
                  <c:v>43307155.5</c:v>
                </c:pt>
                <c:pt idx="2">
                  <c:v>41300679</c:v>
                </c:pt>
                <c:pt idx="3">
                  <c:v>44172813</c:v>
                </c:pt>
                <c:pt idx="4">
                  <c:v>46485094.5</c:v>
                </c:pt>
                <c:pt idx="5">
                  <c:v>5800290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B-4703-8C64-3861EDEEC1FB}"/>
            </c:ext>
          </c:extLst>
        </c:ser>
        <c:ser>
          <c:idx val="1"/>
          <c:order val="1"/>
          <c:tx>
            <c:strRef>
              <c:f>Лист4!$C$3</c:f>
              <c:strCache>
                <c:ptCount val="1"/>
                <c:pt idx="0">
                  <c:v>Сумма по полю товароборот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Лист4!$A$4:$A$11</c:f>
              <c:multiLvlStrCache>
                <c:ptCount val="6"/>
                <c:lvl>
                  <c:pt idx="0">
                    <c:v>18</c:v>
                  </c:pt>
                  <c:pt idx="1">
                    <c:v>19</c:v>
                  </c:pt>
                  <c:pt idx="2">
                    <c:v>20</c:v>
                  </c:pt>
                  <c:pt idx="3">
                    <c:v>21</c:v>
                  </c:pt>
                  <c:pt idx="4">
                    <c:v>22</c:v>
                  </c:pt>
                  <c:pt idx="5">
                    <c:v>23</c:v>
                  </c:pt>
                </c:lvl>
                <c:lvl>
                  <c:pt idx="0">
                    <c:v>Волгоград</c:v>
                  </c:pt>
                </c:lvl>
              </c:multiLvlStrCache>
            </c:multiLvlStrRef>
          </c:cat>
          <c:val>
            <c:numRef>
              <c:f>Лист4!$C$4:$C$11</c:f>
              <c:numCache>
                <c:formatCode>General</c:formatCode>
                <c:ptCount val="6"/>
                <c:pt idx="0">
                  <c:v>1025947.0833333334</c:v>
                </c:pt>
                <c:pt idx="1">
                  <c:v>1202976.5416666667</c:v>
                </c:pt>
                <c:pt idx="2">
                  <c:v>1147241.0833333333</c:v>
                </c:pt>
                <c:pt idx="3">
                  <c:v>1227022.5833333333</c:v>
                </c:pt>
                <c:pt idx="4">
                  <c:v>1269533.7353603605</c:v>
                </c:pt>
                <c:pt idx="5">
                  <c:v>156764.59459459459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1B-4703-8C64-3861EDEE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057984"/>
        <c:axId val="1070073344"/>
      </c:lineChart>
      <c:catAx>
        <c:axId val="10700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70073344"/>
        <c:crosses val="autoZero"/>
        <c:auto val="1"/>
        <c:lblAlgn val="ctr"/>
        <c:lblOffset val="100"/>
        <c:noMultiLvlLbl val="0"/>
      </c:catAx>
      <c:valAx>
        <c:axId val="10700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700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156210</xdr:rowOff>
    </xdr:from>
    <xdr:to>
      <xdr:col>18</xdr:col>
      <xdr:colOff>274320</xdr:colOff>
      <xdr:row>26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9DF6D9-A047-02FA-71DB-E0E0668E2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emgul" refreshedDate="46141.056460300926" createdVersion="8" refreshedVersion="8" minRefreshableVersion="3" recordCount="504" xr:uid="{33591F04-9AB8-4CD0-9B04-2D13DF171CC6}">
  <cacheSource type="worksheet">
    <worksheetSource name="Слияние1"/>
  </cacheSource>
  <cacheFields count="12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NonDate="0" containsString="0" containsBlank="1"/>
    </cacheField>
    <cacheField name="Название недели" numFmtId="0">
      <sharedItems/>
    </cacheField>
    <cacheField name="Неделя года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  <cacheField name="Доля" numFmtId="10">
      <sharedItems containsSemiMixedTypes="0" containsString="0" containsNumber="1" minValue="7.8392752919303284E-5" maxValue="1.0916587580708953E-2"/>
    </cacheField>
    <cacheField name="товароборот на склад" numFmtId="0">
      <sharedItems containsSemiMixedTypes="0" containsString="0" containsNumber="1" minValue="26979.4" maxValue="4964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m/>
    <s v="Воскресенье"/>
    <x v="0"/>
    <n v="1.2574089716330057E-4"/>
    <n v="41598.1"/>
  </r>
  <r>
    <d v="2020-04-28T00:00:00"/>
    <x v="1"/>
    <n v="73147.5"/>
    <n v="6288246"/>
    <n v="36"/>
    <n v="4923"/>
    <n v="4560"/>
    <m/>
    <s v="Вторник"/>
    <x v="1"/>
    <n v="1.2671887956798287E-3"/>
    <n v="174673.5"/>
  </r>
  <r>
    <d v="2020-05-30T00:00:00"/>
    <x v="0"/>
    <n v="10029"/>
    <n v="787101"/>
    <n v="15"/>
    <n v="490"/>
    <n v="409"/>
    <m/>
    <s v="Суббота"/>
    <x v="0"/>
    <n v="1.5861427308479803E-4"/>
    <n v="52473.4"/>
  </r>
  <r>
    <d v="2020-04-28T00:00:00"/>
    <x v="2"/>
    <n v="81826.5"/>
    <n v="7163644.5"/>
    <n v="31"/>
    <n v="5465"/>
    <n v="5096"/>
    <m/>
    <s v="Вторник"/>
    <x v="1"/>
    <n v="1.4435965206567028E-3"/>
    <n v="231085.30645161291"/>
  </r>
  <r>
    <d v="2020-05-28T00:00:00"/>
    <x v="0"/>
    <n v="8536.5"/>
    <n v="643944"/>
    <n v="15"/>
    <n v="464"/>
    <n v="390"/>
    <m/>
    <s v="Четверг"/>
    <x v="0"/>
    <n v="1.297656964828112E-4"/>
    <n v="42929.599999999999"/>
  </r>
  <r>
    <d v="2020-04-28T00:00:00"/>
    <x v="3"/>
    <n v="32181"/>
    <n v="2863600.5"/>
    <n v="19"/>
    <n v="1846"/>
    <n v="1681"/>
    <m/>
    <s v="Вторник"/>
    <x v="1"/>
    <n v="5.7706433064214655E-4"/>
    <n v="150715.81578947368"/>
  </r>
  <r>
    <d v="2020-05-16T00:00:00"/>
    <x v="4"/>
    <n v="38947.5"/>
    <n v="3395892"/>
    <n v="21"/>
    <n v="2145"/>
    <n v="1947"/>
    <m/>
    <s v="Суббота"/>
    <x v="2"/>
    <n v="6.8433014448524509E-4"/>
    <n v="161709.14285714287"/>
  </r>
  <r>
    <d v="2020-04-28T00:00:00"/>
    <x v="4"/>
    <n v="26940"/>
    <n v="2411587.5"/>
    <n v="18"/>
    <n v="1539"/>
    <n v="1404"/>
    <m/>
    <s v="Вторник"/>
    <x v="1"/>
    <n v="4.8597600345176204E-4"/>
    <n v="133977.08333333334"/>
  </r>
  <r>
    <d v="2020-05-19T00:00:00"/>
    <x v="4"/>
    <n v="31842"/>
    <n v="2771116.5"/>
    <n v="21"/>
    <n v="1860"/>
    <n v="1704"/>
    <m/>
    <s v="Вторник"/>
    <x v="3"/>
    <n v="5.5842722761219928E-4"/>
    <n v="131957.92857142858"/>
  </r>
  <r>
    <d v="2020-04-28T00:00:00"/>
    <x v="5"/>
    <n v="25149"/>
    <n v="2277072"/>
    <n v="18"/>
    <n v="1505"/>
    <n v="1368"/>
    <m/>
    <s v="Вторник"/>
    <x v="1"/>
    <n v="4.5886883645395853E-4"/>
    <n v="126504"/>
  </r>
  <r>
    <d v="2020-05-17T00:00:00"/>
    <x v="4"/>
    <n v="32023.5"/>
    <n v="2882458.5"/>
    <n v="21"/>
    <n v="1874"/>
    <n v="1705"/>
    <m/>
    <s v="Воскресенье"/>
    <x v="2"/>
    <n v="5.8086453920729009E-4"/>
    <n v="137259.92857142858"/>
  </r>
  <r>
    <d v="2020-04-28T00:00:00"/>
    <x v="6"/>
    <n v="195705"/>
    <n v="20003263.5"/>
    <n v="54"/>
    <n v="12306"/>
    <n v="11532"/>
    <m/>
    <s v="Вторник"/>
    <x v="1"/>
    <n v="4.0309986893374205E-3"/>
    <n v="370430.80555555556"/>
  </r>
  <r>
    <d v="2020-05-09T00:00:00"/>
    <x v="4"/>
    <n v="31147.5"/>
    <n v="2831019"/>
    <n v="21"/>
    <n v="1735"/>
    <n v="1568"/>
    <m/>
    <s v="Суббота"/>
    <x v="4"/>
    <n v="5.7049860281495237E-4"/>
    <n v="134810.42857142858"/>
  </r>
  <r>
    <d v="2020-04-28T00:00:00"/>
    <x v="7"/>
    <n v="204637.5"/>
    <n v="21114898.5"/>
    <n v="59"/>
    <n v="12943"/>
    <n v="12072"/>
    <m/>
    <s v="Вторник"/>
    <x v="1"/>
    <n v="4.2550120973506474E-3"/>
    <n v="357879.63559322036"/>
  </r>
  <r>
    <d v="2020-05-04T00:00:00"/>
    <x v="4"/>
    <n v="25566"/>
    <n v="2372310"/>
    <n v="20"/>
    <n v="1519"/>
    <n v="1372"/>
    <m/>
    <s v="Понедельник"/>
    <x v="4"/>
    <n v="4.7806091744489868E-4"/>
    <n v="118615.5"/>
  </r>
  <r>
    <d v="2020-04-28T00:00:00"/>
    <x v="8"/>
    <n v="23314.5"/>
    <n v="2136817.5"/>
    <n v="17"/>
    <n v="1439"/>
    <n v="1265"/>
    <m/>
    <s v="Вторник"/>
    <x v="1"/>
    <n v="4.3060516309517509E-4"/>
    <n v="125695.14705882352"/>
  </r>
  <r>
    <d v="2020-04-29T00:00:00"/>
    <x v="4"/>
    <n v="29319"/>
    <n v="2623480.5"/>
    <n v="18"/>
    <n v="1684"/>
    <n v="1528"/>
    <m/>
    <s v="Среда"/>
    <x v="1"/>
    <n v="5.2867605613465417E-4"/>
    <n v="145748.91666666666"/>
  </r>
  <r>
    <d v="2020-04-28T00:00:00"/>
    <x v="9"/>
    <n v="12541.5"/>
    <n v="992541"/>
    <n v="15"/>
    <n v="636"/>
    <n v="547"/>
    <m/>
    <s v="Вторник"/>
    <x v="1"/>
    <n v="2.00013936231638E-4"/>
    <n v="66169.399999999994"/>
  </r>
  <r>
    <d v="2020-05-02T00:00:00"/>
    <x v="4"/>
    <n v="29031"/>
    <n v="2711247"/>
    <n v="18"/>
    <n v="1708"/>
    <n v="1534"/>
    <m/>
    <s v="Суббота"/>
    <x v="1"/>
    <n v="5.4636250247215969E-4"/>
    <n v="150624.83333333334"/>
  </r>
  <r>
    <d v="2020-04-28T00:00:00"/>
    <x v="10"/>
    <n v="13303.5"/>
    <n v="1102887"/>
    <n v="15"/>
    <n v="780"/>
    <n v="690"/>
    <m/>
    <s v="Вторник"/>
    <x v="1"/>
    <n v="2.222505368430146E-4"/>
    <n v="73525.8"/>
  </r>
  <r>
    <d v="2020-05-26T00:00:00"/>
    <x v="4"/>
    <n v="33423"/>
    <n v="2970330"/>
    <n v="20"/>
    <n v="2044"/>
    <n v="1863"/>
    <m/>
    <s v="Вторник"/>
    <x v="0"/>
    <n v="5.9857214483524743E-4"/>
    <n v="148516.5"/>
  </r>
  <r>
    <d v="2020-04-28T00:00:00"/>
    <x v="11"/>
    <n v="376060.5"/>
    <n v="39918028.5"/>
    <n v="125"/>
    <n v="20914"/>
    <n v="19479"/>
    <m/>
    <s v="Вторник"/>
    <x v="1"/>
    <n v="8.0441634218553285E-3"/>
    <n v="319344.228"/>
  </r>
  <r>
    <d v="2020-05-01T00:00:00"/>
    <x v="4"/>
    <n v="32487"/>
    <n v="3031254"/>
    <n v="18"/>
    <n v="1826"/>
    <n v="1633"/>
    <m/>
    <s v="Пятница"/>
    <x v="1"/>
    <n v="6.1084936970653872E-4"/>
    <n v="168403"/>
  </r>
  <r>
    <d v="2020-04-28T00:00:00"/>
    <x v="12"/>
    <n v="286002"/>
    <n v="29159032.5"/>
    <n v="128"/>
    <n v="16450"/>
    <n v="15320"/>
    <m/>
    <s v="Вторник"/>
    <x v="1"/>
    <n v="5.8760422662955591E-3"/>
    <n v="227804.94140625"/>
  </r>
  <r>
    <d v="2020-05-12T00:00:00"/>
    <x v="4"/>
    <n v="28219.5"/>
    <n v="2595778.5"/>
    <n v="21"/>
    <n v="1656"/>
    <n v="1516"/>
    <m/>
    <s v="Вторник"/>
    <x v="2"/>
    <n v="5.2309363076231312E-4"/>
    <n v="123608.5"/>
  </r>
  <r>
    <d v="2020-04-28T00:00:00"/>
    <x v="13"/>
    <n v="12331.5"/>
    <n v="869983.5"/>
    <n v="10"/>
    <n v="580"/>
    <n v="506"/>
    <m/>
    <s v="Вторник"/>
    <x v="1"/>
    <n v="1.7531651014071685E-4"/>
    <n v="86998.35"/>
  </r>
  <r>
    <d v="2020-05-21T00:00:00"/>
    <x v="4"/>
    <n v="31272"/>
    <n v="2744382"/>
    <n v="21"/>
    <n v="1787"/>
    <n v="1626"/>
    <m/>
    <s v="Четверг"/>
    <x v="3"/>
    <n v="5.5303976998759264E-4"/>
    <n v="130684.85714285714"/>
  </r>
  <r>
    <d v="2020-04-29T00:00:00"/>
    <x v="1"/>
    <n v="74707.5"/>
    <n v="6454458"/>
    <n v="36"/>
    <n v="4937"/>
    <n v="4561"/>
    <m/>
    <s v="Среда"/>
    <x v="1"/>
    <n v="1.3006833479138754E-3"/>
    <n v="179290.5"/>
  </r>
  <r>
    <d v="2020-05-20T00:00:00"/>
    <x v="4"/>
    <n v="34077"/>
    <n v="2929330.5"/>
    <n v="21"/>
    <n v="1921"/>
    <n v="1767"/>
    <m/>
    <s v="Среда"/>
    <x v="3"/>
    <n v="5.9031004646497459E-4"/>
    <n v="139491.92857142858"/>
  </r>
  <r>
    <d v="2020-04-29T00:00:00"/>
    <x v="2"/>
    <n v="79527"/>
    <n v="7180498.5"/>
    <n v="31"/>
    <n v="5378"/>
    <n v="4985"/>
    <m/>
    <s v="Среда"/>
    <x v="1"/>
    <n v="1.4469928890497947E-3"/>
    <n v="231628.98387096773"/>
  </r>
  <r>
    <d v="2020-05-05T00:00:00"/>
    <x v="4"/>
    <n v="31566"/>
    <n v="2906763"/>
    <n v="20"/>
    <n v="1773"/>
    <n v="1604"/>
    <m/>
    <s v="Вторник"/>
    <x v="4"/>
    <n v="5.8576231039572657E-4"/>
    <n v="145338.15"/>
  </r>
  <r>
    <d v="2020-04-29T00:00:00"/>
    <x v="3"/>
    <n v="29142"/>
    <n v="2627595"/>
    <n v="19"/>
    <n v="1676"/>
    <n v="1516"/>
    <m/>
    <s v="Среда"/>
    <x v="1"/>
    <n v="5.2950519804478694E-4"/>
    <n v="138294.47368421053"/>
  </r>
  <r>
    <d v="2020-05-13T00:00:00"/>
    <x v="4"/>
    <n v="29241"/>
    <n v="2629782"/>
    <n v="21"/>
    <n v="1698"/>
    <n v="1554"/>
    <m/>
    <s v="Среда"/>
    <x v="2"/>
    <n v="5.2994591583734019E-4"/>
    <n v="125227.71428571429"/>
  </r>
  <r>
    <d v="2020-04-29T00:00:00"/>
    <x v="5"/>
    <n v="25816.5"/>
    <n v="2360914.5"/>
    <n v="18"/>
    <n v="1599"/>
    <n v="1450"/>
    <m/>
    <s v="Среда"/>
    <x v="1"/>
    <n v="4.757645298797224E-4"/>
    <n v="131161.91666666666"/>
  </r>
  <r>
    <d v="2020-05-03T00:00:00"/>
    <x v="4"/>
    <n v="26082"/>
    <n v="2434914"/>
    <n v="20"/>
    <n v="1520"/>
    <n v="1373"/>
    <m/>
    <s v="Воскресенье"/>
    <x v="1"/>
    <n v="4.9067669096341875E-4"/>
    <n v="121745.7"/>
  </r>
  <r>
    <d v="2020-04-29T00:00:00"/>
    <x v="6"/>
    <n v="203209.5"/>
    <n v="20871391.5"/>
    <n v="54"/>
    <n v="12747"/>
    <n v="11884"/>
    <m/>
    <s v="Среда"/>
    <x v="1"/>
    <n v="4.205941284588296E-3"/>
    <n v="386507.25"/>
  </r>
  <r>
    <d v="2020-05-06T00:00:00"/>
    <x v="4"/>
    <n v="32511"/>
    <n v="2938623"/>
    <n v="20"/>
    <n v="1784"/>
    <n v="1632"/>
    <m/>
    <s v="Среда"/>
    <x v="4"/>
    <n v="5.9218264366995904E-4"/>
    <n v="146931.15"/>
  </r>
  <r>
    <d v="2020-04-29T00:00:00"/>
    <x v="7"/>
    <n v="208351.5"/>
    <n v="21615333"/>
    <n v="59"/>
    <n v="13186"/>
    <n v="12251"/>
    <m/>
    <s v="Среда"/>
    <x v="1"/>
    <n v="4.3558581824706694E-3"/>
    <n v="366361.57627118647"/>
  </r>
  <r>
    <d v="2020-05-23T00:00:00"/>
    <x v="4"/>
    <n v="42703.5"/>
    <n v="3628726.5"/>
    <n v="21"/>
    <n v="2340"/>
    <n v="2146"/>
    <m/>
    <s v="Суббота"/>
    <x v="3"/>
    <n v="7.3125026651096024E-4"/>
    <n v="172796.5"/>
  </r>
  <r>
    <d v="2020-04-29T00:00:00"/>
    <x v="8"/>
    <n v="25917"/>
    <n v="2397588"/>
    <n v="18"/>
    <n v="1534"/>
    <n v="1369"/>
    <m/>
    <s v="Среда"/>
    <x v="1"/>
    <n v="4.8315486548338105E-4"/>
    <n v="133199.33333333334"/>
  </r>
  <r>
    <d v="2020-05-25T00:00:00"/>
    <x v="4"/>
    <n v="35592"/>
    <n v="3176580"/>
    <n v="20"/>
    <n v="2087"/>
    <n v="1914"/>
    <m/>
    <s v="Понедельник"/>
    <x v="0"/>
    <n v="6.4013503679414424E-4"/>
    <n v="158829"/>
  </r>
  <r>
    <d v="2020-04-29T00:00:00"/>
    <x v="9"/>
    <n v="12250.5"/>
    <n v="981519"/>
    <n v="15"/>
    <n v="659"/>
    <n v="575"/>
    <m/>
    <s v="Среда"/>
    <x v="1"/>
    <n v="1.9779281528535457E-4"/>
    <n v="65434.6"/>
  </r>
  <r>
    <d v="2020-04-30T00:00:00"/>
    <x v="4"/>
    <n v="30445.5"/>
    <n v="2817196.5"/>
    <n v="19"/>
    <n v="1712"/>
    <n v="1552"/>
    <m/>
    <s v="Четверг"/>
    <x v="1"/>
    <n v="5.6771313336476158E-4"/>
    <n v="148273.5"/>
  </r>
  <r>
    <d v="2020-04-29T00:00:00"/>
    <x v="10"/>
    <n v="13014"/>
    <n v="1115992.5"/>
    <n v="15"/>
    <n v="786"/>
    <n v="695"/>
    <m/>
    <s v="Среда"/>
    <x v="1"/>
    <n v="2.2489151856697738E-4"/>
    <n v="74399.5"/>
  </r>
  <r>
    <d v="2020-05-10T00:00:00"/>
    <x v="4"/>
    <n v="36619.5"/>
    <n v="3312967.5"/>
    <n v="21"/>
    <n v="2016"/>
    <n v="1846"/>
    <m/>
    <s v="Воскресенье"/>
    <x v="4"/>
    <n v="6.6761944371314559E-4"/>
    <n v="157760.35714285713"/>
  </r>
  <r>
    <d v="2020-04-29T00:00:00"/>
    <x v="11"/>
    <n v="387220.5"/>
    <n v="41559384"/>
    <n v="125"/>
    <n v="21863"/>
    <n v="20160"/>
    <m/>
    <s v="Среда"/>
    <x v="1"/>
    <n v="8.3749245433711629E-3"/>
    <n v="332475.07199999999"/>
  </r>
  <r>
    <d v="2020-05-08T00:00:00"/>
    <x v="4"/>
    <n v="29409"/>
    <n v="2645160"/>
    <n v="21"/>
    <n v="1646"/>
    <n v="1492"/>
    <m/>
    <s v="Пятница"/>
    <x v="4"/>
    <n v="5.3304484506179559E-4"/>
    <n v="125960"/>
  </r>
  <r>
    <d v="2020-04-29T00:00:00"/>
    <x v="12"/>
    <n v="298059"/>
    <n v="30869287.5"/>
    <n v="128"/>
    <n v="17368"/>
    <n v="16077"/>
    <m/>
    <s v="Среда"/>
    <x v="1"/>
    <n v="6.2206878119302885E-3"/>
    <n v="241166.30859375"/>
  </r>
  <r>
    <d v="2020-05-07T00:00:00"/>
    <x v="4"/>
    <n v="27018"/>
    <n v="2472213"/>
    <n v="21"/>
    <n v="1542"/>
    <n v="1405"/>
    <m/>
    <s v="Четверг"/>
    <x v="4"/>
    <n v="4.9819307548305467E-4"/>
    <n v="117724.42857142857"/>
  </r>
  <r>
    <d v="2020-04-29T00:00:00"/>
    <x v="13"/>
    <n v="10840.5"/>
    <n v="797919"/>
    <n v="10"/>
    <n v="502"/>
    <n v="433"/>
    <m/>
    <s v="Среда"/>
    <x v="1"/>
    <n v="1.6079428455248939E-4"/>
    <n v="79791.899999999994"/>
  </r>
  <r>
    <d v="2020-05-24T00:00:00"/>
    <x v="4"/>
    <n v="34303.5"/>
    <n v="2924746.5"/>
    <n v="20"/>
    <n v="1999"/>
    <n v="1829"/>
    <m/>
    <s v="Воскресенье"/>
    <x v="3"/>
    <n v="5.8938629229896445E-4"/>
    <n v="146237.32500000001"/>
  </r>
  <r>
    <d v="2020-04-30T00:00:00"/>
    <x v="1"/>
    <n v="78235.5"/>
    <n v="6819594"/>
    <n v="36"/>
    <n v="5143"/>
    <n v="4715"/>
    <m/>
    <s v="Четверг"/>
    <x v="1"/>
    <n v="1.3742644781844389E-3"/>
    <n v="189433.16666666666"/>
  </r>
  <r>
    <d v="2020-05-31T00:00:00"/>
    <x v="4"/>
    <n v="36999"/>
    <n v="3473895"/>
    <n v="21"/>
    <n v="2271"/>
    <n v="2085"/>
    <m/>
    <s v="Воскресенье"/>
    <x v="0"/>
    <n v="7.0004907908631096E-4"/>
    <n v="165423.57142857142"/>
  </r>
  <r>
    <d v="2020-04-30T00:00:00"/>
    <x v="2"/>
    <n v="77565"/>
    <n v="7023727.5"/>
    <n v="31"/>
    <n v="5120"/>
    <n v="4737"/>
    <m/>
    <s v="Четверг"/>
    <x v="1"/>
    <n v="1.4154008593029429E-3"/>
    <n v="226571.85483870967"/>
  </r>
  <r>
    <d v="2020-05-30T00:00:00"/>
    <x v="4"/>
    <n v="44001"/>
    <n v="3921784.5"/>
    <n v="20"/>
    <n v="2597"/>
    <n v="2376"/>
    <m/>
    <s v="Суббота"/>
    <x v="0"/>
    <n v="7.9030645071309538E-4"/>
    <n v="196089.22500000001"/>
  </r>
  <r>
    <d v="2020-04-30T00:00:00"/>
    <x v="3"/>
    <n v="31231.5"/>
    <n v="2853310.5"/>
    <n v="20"/>
    <n v="1756"/>
    <n v="1586"/>
    <m/>
    <s v="Четверг"/>
    <x v="1"/>
    <n v="5.7499072017786986E-4"/>
    <n v="142665.52499999999"/>
  </r>
  <r>
    <d v="2020-05-28T00:00:00"/>
    <x v="4"/>
    <n v="30982.5"/>
    <n v="2827773"/>
    <n v="20"/>
    <n v="1886"/>
    <n v="1736"/>
    <m/>
    <s v="Четверг"/>
    <x v="0"/>
    <n v="5.6984447846441383E-4"/>
    <n v="141388.65"/>
  </r>
  <r>
    <d v="2020-05-16T00:00:00"/>
    <x v="2"/>
    <n v="88063.5"/>
    <n v="7583758.5"/>
    <n v="31"/>
    <n v="5593"/>
    <n v="5177"/>
    <m/>
    <s v="Суббота"/>
    <x v="2"/>
    <n v="1.5282566554078298E-3"/>
    <n v="244637.37096774194"/>
  </r>
  <r>
    <d v="2020-04-30T00:00:00"/>
    <x v="5"/>
    <n v="27883.5"/>
    <n v="2560080"/>
    <n v="19"/>
    <n v="1662"/>
    <n v="1506"/>
    <m/>
    <s v="Четверг"/>
    <x v="1"/>
    <n v="5.158997742842783E-4"/>
    <n v="134741.05263157896"/>
  </r>
  <r>
    <d v="2020-05-19T00:00:00"/>
    <x v="2"/>
    <n v="84024"/>
    <n v="6815511"/>
    <n v="31"/>
    <n v="5389"/>
    <n v="5024"/>
    <m/>
    <s v="Вторник"/>
    <x v="3"/>
    <n v="1.3734416840614418E-3"/>
    <n v="219855.19354838709"/>
  </r>
  <r>
    <d v="2020-04-30T00:00:00"/>
    <x v="6"/>
    <n v="206038.5"/>
    <n v="21740460"/>
    <n v="54"/>
    <n v="12817"/>
    <n v="11865"/>
    <m/>
    <s v="Четверг"/>
    <x v="1"/>
    <n v="4.3810734066265043E-3"/>
    <n v="402601.11111111112"/>
  </r>
  <r>
    <d v="2020-05-17T00:00:00"/>
    <x v="2"/>
    <n v="78057"/>
    <n v="6774946.5"/>
    <n v="31"/>
    <n v="5206"/>
    <n v="4843"/>
    <m/>
    <s v="Воскресенье"/>
    <x v="2"/>
    <n v="1.3652672456087548E-3"/>
    <n v="218546.66129032258"/>
  </r>
  <r>
    <d v="2020-04-30T00:00:00"/>
    <x v="7"/>
    <n v="214386"/>
    <n v="22530000"/>
    <n v="59"/>
    <n v="13251"/>
    <n v="12255"/>
    <m/>
    <s v="Четверг"/>
    <x v="1"/>
    <n v="4.5401791798009399E-3"/>
    <n v="381864.40677966102"/>
  </r>
  <r>
    <d v="2020-05-09T00:00:00"/>
    <x v="2"/>
    <n v="69720"/>
    <n v="6264933"/>
    <n v="31"/>
    <n v="4556"/>
    <n v="4220"/>
    <m/>
    <s v="Суббота"/>
    <x v="4"/>
    <n v="1.2624908286483728E-3"/>
    <n v="202094.61290322582"/>
  </r>
  <r>
    <d v="2020-04-30T00:00:00"/>
    <x v="8"/>
    <n v="24211.5"/>
    <n v="2267664"/>
    <n v="19"/>
    <n v="1499"/>
    <n v="1322"/>
    <m/>
    <s v="Четверг"/>
    <x v="1"/>
    <n v="4.5697296402947706E-4"/>
    <n v="119350.73684210527"/>
  </r>
  <r>
    <d v="2020-05-04T00:00:00"/>
    <x v="2"/>
    <n v="72928.5"/>
    <n v="6642249"/>
    <n v="31"/>
    <n v="4968"/>
    <n v="4596"/>
    <m/>
    <s v="Понедельник"/>
    <x v="4"/>
    <n v="1.3385264366113454E-3"/>
    <n v="214266.09677419355"/>
  </r>
  <r>
    <d v="2020-04-30T00:00:00"/>
    <x v="9"/>
    <n v="11976"/>
    <n v="1004511"/>
    <n v="15"/>
    <n v="644"/>
    <n v="550"/>
    <m/>
    <s v="Четверг"/>
    <x v="1"/>
    <n v="2.0242609534314344E-4"/>
    <n v="66967.399999999994"/>
  </r>
  <r>
    <d v="2020-04-30T00:00:00"/>
    <x v="10"/>
    <n v="12753"/>
    <n v="1103068.5"/>
    <n v="15"/>
    <n v="791"/>
    <n v="691"/>
    <m/>
    <s v="Четверг"/>
    <x v="1"/>
    <n v="2.2228711218793843E-4"/>
    <n v="73537.899999999994"/>
  </r>
  <r>
    <d v="2020-05-02T00:00:00"/>
    <x v="2"/>
    <n v="60463.5"/>
    <n v="5554192.5"/>
    <n v="31"/>
    <n v="4157"/>
    <n v="3823"/>
    <m/>
    <s v="Суббота"/>
    <x v="1"/>
    <n v="1.119264498406859E-3"/>
    <n v="179167.5"/>
  </r>
  <r>
    <d v="2020-04-30T00:00:00"/>
    <x v="14"/>
    <n v="4285.5"/>
    <n v="404691"/>
    <n v="15"/>
    <n v="262"/>
    <n v="195"/>
    <m/>
    <s v="Четверг"/>
    <x v="1"/>
    <n v="8.1552137259335199E-5"/>
    <n v="26979.4"/>
  </r>
  <r>
    <d v="2020-05-26T00:00:00"/>
    <x v="2"/>
    <n v="79975.5"/>
    <n v="6676459.5"/>
    <n v="31"/>
    <n v="5493"/>
    <n v="5119"/>
    <m/>
    <s v="Вторник"/>
    <x v="0"/>
    <n v="1.3454204357161205E-3"/>
    <n v="215369.66129032258"/>
  </r>
  <r>
    <d v="2020-04-30T00:00:00"/>
    <x v="11"/>
    <n v="401580"/>
    <n v="43028734.5"/>
    <n v="125"/>
    <n v="22368"/>
    <n v="20625"/>
    <m/>
    <s v="Четверг"/>
    <x v="1"/>
    <n v="8.6710237243711671E-3"/>
    <n v="344229.87599999999"/>
  </r>
  <r>
    <d v="2020-05-01T00:00:00"/>
    <x v="2"/>
    <n v="97534.5"/>
    <n v="8893024.5"/>
    <n v="31"/>
    <n v="6118"/>
    <n v="5564"/>
    <m/>
    <s v="Пятница"/>
    <x v="1"/>
    <n v="1.7920960799094391E-3"/>
    <n v="286871.75806451612"/>
  </r>
  <r>
    <d v="2020-04-30T00:00:00"/>
    <x v="12"/>
    <n v="311131.5"/>
    <n v="32418879"/>
    <n v="129"/>
    <n v="18042"/>
    <n v="16631"/>
    <m/>
    <s v="Четверг"/>
    <x v="1"/>
    <n v="6.5329569226935599E-3"/>
    <n v="251309.13953488372"/>
  </r>
  <r>
    <d v="2020-05-12T00:00:00"/>
    <x v="2"/>
    <n v="71520"/>
    <n v="6398361"/>
    <n v="31"/>
    <n v="4800"/>
    <n v="4470"/>
    <m/>
    <s v="Вторник"/>
    <x v="2"/>
    <n v="1.2893788458522113E-3"/>
    <n v="206398.74193548388"/>
  </r>
  <r>
    <d v="2020-04-30T00:00:00"/>
    <x v="13"/>
    <n v="8934"/>
    <n v="716196"/>
    <n v="10"/>
    <n v="448"/>
    <n v="376"/>
    <m/>
    <s v="Четверг"/>
    <x v="1"/>
    <n v="1.4432570651827403E-4"/>
    <n v="71619.600000000006"/>
  </r>
  <r>
    <d v="2020-05-21T00:00:00"/>
    <x v="2"/>
    <n v="79485"/>
    <n v="6633847.5"/>
    <n v="31"/>
    <n v="5207"/>
    <n v="4868"/>
    <m/>
    <s v="Четверг"/>
    <x v="3"/>
    <n v="1.3368333910996233E-3"/>
    <n v="213995.0806451613"/>
  </r>
  <r>
    <d v="2020-05-01T00:00:00"/>
    <x v="1"/>
    <n v="82228.5"/>
    <n v="7032225"/>
    <n v="36"/>
    <n v="5457"/>
    <n v="4916"/>
    <m/>
    <s v="Пятница"/>
    <x v="1"/>
    <n v="1.4171132504516494E-3"/>
    <n v="195339.58333333334"/>
  </r>
  <r>
    <d v="2020-05-20T00:00:00"/>
    <x v="2"/>
    <n v="93313.5"/>
    <n v="7247575.5"/>
    <n v="31"/>
    <n v="5698"/>
    <n v="5258"/>
    <m/>
    <s v="Среда"/>
    <x v="3"/>
    <n v="1.4605100483415618E-3"/>
    <n v="233792.75806451612"/>
  </r>
  <r>
    <d v="2020-05-05T00:00:00"/>
    <x v="2"/>
    <n v="76585.5"/>
    <n v="6921316.5"/>
    <n v="31"/>
    <n v="5188"/>
    <n v="4800"/>
    <m/>
    <s v="Вторник"/>
    <x v="4"/>
    <n v="1.3947632964985668E-3"/>
    <n v="223268.27419354839"/>
  </r>
  <r>
    <d v="2020-05-01T00:00:00"/>
    <x v="3"/>
    <n v="46620"/>
    <n v="4293241.5"/>
    <n v="20"/>
    <n v="2468"/>
    <n v="2221"/>
    <m/>
    <s v="Пятница"/>
    <x v="1"/>
    <n v="8.6516137026885738E-4"/>
    <n v="214662.07500000001"/>
  </r>
  <r>
    <d v="2020-05-13T00:00:00"/>
    <x v="2"/>
    <n v="78846"/>
    <n v="6993952.5"/>
    <n v="31"/>
    <n v="5251"/>
    <n v="4853"/>
    <m/>
    <s v="Среда"/>
    <x v="2"/>
    <n v="1.4094006890819676E-3"/>
    <n v="225611.37096774194"/>
  </r>
  <r>
    <d v="2020-05-01T00:00:00"/>
    <x v="5"/>
    <n v="35190"/>
    <n v="3168510"/>
    <n v="19"/>
    <n v="1987"/>
    <n v="1791"/>
    <m/>
    <s v="Пятница"/>
    <x v="1"/>
    <n v="6.385087941851343E-4"/>
    <n v="166763.68421052632"/>
  </r>
  <r>
    <d v="2020-05-03T00:00:00"/>
    <x v="2"/>
    <n v="77263.5"/>
    <n v="7013670"/>
    <n v="31"/>
    <n v="5155"/>
    <n v="4762"/>
    <m/>
    <s v="Воскресенье"/>
    <x v="1"/>
    <n v="1.4133741015532383E-3"/>
    <n v="226247.4193548387"/>
  </r>
  <r>
    <d v="2020-05-01T00:00:00"/>
    <x v="6"/>
    <n v="226540.5"/>
    <n v="23953536"/>
    <n v="54"/>
    <n v="14205"/>
    <n v="13026"/>
    <m/>
    <s v="Пятница"/>
    <x v="1"/>
    <n v="4.8270459578256672E-3"/>
    <n v="443584"/>
  </r>
  <r>
    <d v="2020-05-06T00:00:00"/>
    <x v="2"/>
    <n v="68994"/>
    <n v="6168657"/>
    <n v="31"/>
    <n v="4709"/>
    <n v="4348"/>
    <m/>
    <s v="Среда"/>
    <x v="4"/>
    <n v="1.2430895729575377E-3"/>
    <n v="198988.93548387097"/>
  </r>
  <r>
    <d v="2020-05-01T00:00:00"/>
    <x v="7"/>
    <n v="239409"/>
    <n v="25413351"/>
    <n v="59"/>
    <n v="15222"/>
    <n v="13873"/>
    <m/>
    <s v="Пятница"/>
    <x v="1"/>
    <n v="5.1212235729770706E-3"/>
    <n v="430734.76271186443"/>
  </r>
  <r>
    <d v="2020-05-23T00:00:00"/>
    <x v="2"/>
    <n v="102889.5"/>
    <n v="8089143"/>
    <n v="31"/>
    <n v="6276"/>
    <n v="5801"/>
    <m/>
    <s v="Суббота"/>
    <x v="3"/>
    <n v="1.6301002499348651E-3"/>
    <n v="260940.09677419355"/>
  </r>
  <r>
    <d v="2020-05-01T00:00:00"/>
    <x v="8"/>
    <n v="25792.5"/>
    <n v="2374356"/>
    <n v="19"/>
    <n v="1497"/>
    <n v="1291"/>
    <m/>
    <s v="Пятница"/>
    <x v="1"/>
    <n v="4.7847322133313095E-4"/>
    <n v="124966.10526315789"/>
  </r>
  <r>
    <d v="2020-05-25T00:00:00"/>
    <x v="2"/>
    <n v="76999.5"/>
    <n v="6645603"/>
    <n v="31"/>
    <n v="5210"/>
    <n v="4841"/>
    <m/>
    <s v="Понедельник"/>
    <x v="0"/>
    <n v="1.3392023248034915E-3"/>
    <n v="214374.29032258064"/>
  </r>
  <r>
    <d v="2020-05-01T00:00:00"/>
    <x v="9"/>
    <n v="13644"/>
    <n v="1134444"/>
    <n v="15"/>
    <n v="721"/>
    <n v="625"/>
    <m/>
    <s v="Пятница"/>
    <x v="1"/>
    <n v="2.2860981045051476E-4"/>
    <n v="75629.600000000006"/>
  </r>
  <r>
    <d v="2020-05-01T00:00:00"/>
    <x v="10"/>
    <n v="17113.5"/>
    <n v="1465842"/>
    <n v="15"/>
    <n v="996"/>
    <n v="888"/>
    <m/>
    <s v="Пятница"/>
    <x v="1"/>
    <n v="2.9539215842333641E-4"/>
    <n v="97722.8"/>
  </r>
  <r>
    <d v="2020-05-10T00:00:00"/>
    <x v="2"/>
    <n v="84132"/>
    <n v="7483194"/>
    <n v="31"/>
    <n v="5495"/>
    <n v="5093"/>
    <m/>
    <s v="Воскресенье"/>
    <x v="4"/>
    <n v="1.5079911938398274E-3"/>
    <n v="241393.35483870967"/>
  </r>
  <r>
    <d v="2020-05-01T00:00:00"/>
    <x v="14"/>
    <n v="5446.5"/>
    <n v="505572"/>
    <n v="15"/>
    <n v="294"/>
    <n v="225"/>
    <m/>
    <s v="Пятница"/>
    <x v="1"/>
    <n v="1.0188137897427078E-4"/>
    <n v="33704.800000000003"/>
  </r>
  <r>
    <d v="2020-05-08T00:00:00"/>
    <x v="2"/>
    <n v="69544.5"/>
    <n v="6293776.5"/>
    <n v="31"/>
    <n v="4635"/>
    <n v="4266"/>
    <m/>
    <s v="Пятница"/>
    <x v="4"/>
    <n v="1.2683032857354829E-3"/>
    <n v="203025.04838709679"/>
  </r>
  <r>
    <d v="2020-05-01T00:00:00"/>
    <x v="11"/>
    <n v="372504"/>
    <n v="40077193.5"/>
    <n v="125"/>
    <n v="20602"/>
    <n v="18845"/>
    <m/>
    <s v="Пятница"/>
    <x v="1"/>
    <n v="8.0762378834244811E-3"/>
    <n v="320617.54800000001"/>
  </r>
  <r>
    <d v="2020-05-07T00:00:00"/>
    <x v="2"/>
    <n v="73204.5"/>
    <n v="6591883.5"/>
    <n v="31"/>
    <n v="4903"/>
    <n v="4527"/>
    <m/>
    <s v="Четверг"/>
    <x v="4"/>
    <n v="1.3283769295327718E-3"/>
    <n v="212641.40322580645"/>
  </r>
  <r>
    <d v="2020-05-01T00:00:00"/>
    <x v="12"/>
    <n v="296149.5"/>
    <n v="31053316.5"/>
    <n v="129"/>
    <n v="17002"/>
    <n v="15570"/>
    <m/>
    <s v="Пятница"/>
    <x v="1"/>
    <n v="6.2577727934784279E-3"/>
    <n v="240723.38372093023"/>
  </r>
  <r>
    <d v="2020-05-24T00:00:00"/>
    <x v="2"/>
    <n v="76663.5"/>
    <n v="6451032"/>
    <n v="31"/>
    <n v="5035"/>
    <n v="4683"/>
    <m/>
    <s v="Воскресенье"/>
    <x v="3"/>
    <n v="1.2999929504939908E-3"/>
    <n v="208097.80645161291"/>
  </r>
  <r>
    <d v="2020-05-01T00:00:00"/>
    <x v="13"/>
    <n v="11619"/>
    <n v="891139.5"/>
    <n v="10"/>
    <n v="554"/>
    <n v="472"/>
    <m/>
    <s v="Пятница"/>
    <x v="1"/>
    <n v="1.7957980489117709E-4"/>
    <n v="89113.95"/>
  </r>
  <r>
    <d v="2020-05-16T00:00:00"/>
    <x v="13"/>
    <n v="14265"/>
    <n v="1130506.5"/>
    <n v="10"/>
    <n v="760"/>
    <n v="672"/>
    <m/>
    <s v="Суббота"/>
    <x v="2"/>
    <n v="2.2781633705857218E-4"/>
    <n v="113050.65"/>
  </r>
  <r>
    <d v="2020-05-02T00:00:00"/>
    <x v="1"/>
    <n v="46216.5"/>
    <n v="4118251.5"/>
    <n v="36"/>
    <n v="3442"/>
    <n v="3147"/>
    <m/>
    <s v="Суббота"/>
    <x v="1"/>
    <n v="8.2989790135303996E-4"/>
    <n v="114395.875"/>
  </r>
  <r>
    <d v="2020-05-19T00:00:00"/>
    <x v="13"/>
    <n v="11526"/>
    <n v="938764.5"/>
    <n v="10"/>
    <n v="649"/>
    <n v="568"/>
    <m/>
    <s v="Вторник"/>
    <x v="3"/>
    <n v="1.8917705448895868E-4"/>
    <n v="93876.45"/>
  </r>
  <r>
    <d v="2020-05-17T00:00:00"/>
    <x v="13"/>
    <n v="10402.5"/>
    <n v="843727.5"/>
    <n v="10"/>
    <n v="591"/>
    <n v="513"/>
    <m/>
    <s v="Воскресенье"/>
    <x v="2"/>
    <n v="1.7002547842545482E-4"/>
    <n v="84372.75"/>
  </r>
  <r>
    <d v="2020-05-02T00:00:00"/>
    <x v="3"/>
    <n v="26428.5"/>
    <n v="2470465.5"/>
    <n v="20"/>
    <n v="1613"/>
    <n v="1457"/>
    <m/>
    <s v="Суббота"/>
    <x v="1"/>
    <n v="4.9784092443482105E-4"/>
    <n v="123523.27499999999"/>
  </r>
  <r>
    <d v="2020-05-09T00:00:00"/>
    <x v="13"/>
    <n v="13216.5"/>
    <n v="1046400"/>
    <n v="10"/>
    <n v="644"/>
    <n v="559"/>
    <m/>
    <s v="Суббота"/>
    <x v="4"/>
    <n v="2.108674431311009E-4"/>
    <n v="104640"/>
  </r>
  <r>
    <d v="2020-05-04T00:00:00"/>
    <x v="13"/>
    <n v="9130.5"/>
    <n v="728890.5"/>
    <n v="10"/>
    <n v="462"/>
    <n v="396"/>
    <m/>
    <s v="Понедельник"/>
    <x v="4"/>
    <n v="1.468838647338969E-4"/>
    <n v="72889.05"/>
  </r>
  <r>
    <d v="2020-05-02T00:00:00"/>
    <x v="5"/>
    <n v="18427.5"/>
    <n v="1682851.5"/>
    <n v="19"/>
    <n v="1206"/>
    <n v="1080"/>
    <m/>
    <s v="Суббота"/>
    <x v="1"/>
    <n v="3.391232731023871E-4"/>
    <n v="88571.131578947374"/>
  </r>
  <r>
    <d v="2020-05-02T00:00:00"/>
    <x v="6"/>
    <n v="176397"/>
    <n v="18625921.5"/>
    <n v="54"/>
    <n v="11622"/>
    <n v="10754"/>
    <m/>
    <s v="Суббота"/>
    <x v="1"/>
    <n v="3.7534407900091738E-3"/>
    <n v="344924.47222222225"/>
  </r>
  <r>
    <d v="2020-05-02T00:00:00"/>
    <x v="13"/>
    <n v="7866"/>
    <n v="617881.5"/>
    <n v="10"/>
    <n v="416"/>
    <n v="341"/>
    <m/>
    <s v="Суббота"/>
    <x v="1"/>
    <n v="1.2451365831709607E-4"/>
    <n v="61788.15"/>
  </r>
  <r>
    <d v="2020-05-02T00:00:00"/>
    <x v="7"/>
    <n v="185979"/>
    <n v="19625364"/>
    <n v="59"/>
    <n v="12429"/>
    <n v="11477"/>
    <m/>
    <s v="Суббота"/>
    <x v="1"/>
    <n v="3.9548454961746511E-3"/>
    <n v="332633.28813559323"/>
  </r>
  <r>
    <d v="2020-05-26T00:00:00"/>
    <x v="13"/>
    <n v="11835"/>
    <n v="983109"/>
    <n v="10"/>
    <n v="692"/>
    <n v="601"/>
    <m/>
    <s v="Вторник"/>
    <x v="0"/>
    <n v="1.9811322739791043E-4"/>
    <n v="98310.9"/>
  </r>
  <r>
    <d v="2020-05-02T00:00:00"/>
    <x v="8"/>
    <n v="19461"/>
    <n v="1799230.5"/>
    <n v="19"/>
    <n v="1217"/>
    <n v="1048"/>
    <m/>
    <s v="Суббота"/>
    <x v="1"/>
    <n v="3.6257562608800866E-4"/>
    <n v="94696.34210526316"/>
  </r>
  <r>
    <d v="2020-05-02T00:00:00"/>
    <x v="9"/>
    <n v="10018.5"/>
    <n v="816859.5"/>
    <n v="15"/>
    <n v="567"/>
    <n v="493"/>
    <m/>
    <s v="Суббота"/>
    <x v="1"/>
    <n v="1.646111182744166E-4"/>
    <n v="54457.3"/>
  </r>
  <r>
    <d v="2020-05-12T00:00:00"/>
    <x v="13"/>
    <n v="9328.5"/>
    <n v="732964.5"/>
    <n v="10"/>
    <n v="526"/>
    <n v="448"/>
    <m/>
    <s v="Вторник"/>
    <x v="2"/>
    <n v="1.477048452034268E-4"/>
    <n v="73296.45"/>
  </r>
  <r>
    <d v="2020-05-02T00:00:00"/>
    <x v="10"/>
    <n v="12313.5"/>
    <n v="1053220.5"/>
    <n v="15"/>
    <n v="751"/>
    <n v="651"/>
    <m/>
    <s v="Суббота"/>
    <x v="1"/>
    <n v="2.1224189018373437E-4"/>
    <n v="70214.7"/>
  </r>
  <r>
    <d v="2020-05-21T00:00:00"/>
    <x v="13"/>
    <n v="11250"/>
    <n v="935523"/>
    <n v="10"/>
    <n v="677"/>
    <n v="591"/>
    <m/>
    <s v="Четверг"/>
    <x v="3"/>
    <n v="1.8852383696515377E-4"/>
    <n v="93552.3"/>
  </r>
  <r>
    <d v="2020-05-02T00:00:00"/>
    <x v="14"/>
    <n v="4624.5"/>
    <n v="433243.5"/>
    <n v="15"/>
    <n v="274"/>
    <n v="203"/>
    <m/>
    <s v="Суббота"/>
    <x v="1"/>
    <n v="8.7305952884335922E-5"/>
    <n v="28882.9"/>
  </r>
  <r>
    <d v="2020-05-20T00:00:00"/>
    <x v="13"/>
    <n v="13063.5"/>
    <n v="1037247"/>
    <n v="10"/>
    <n v="745"/>
    <n v="654"/>
    <m/>
    <s v="Среда"/>
    <x v="3"/>
    <n v="2.0902295755485955E-4"/>
    <n v="103724.7"/>
  </r>
  <r>
    <d v="2020-05-02T00:00:00"/>
    <x v="11"/>
    <n v="296580"/>
    <n v="31843737"/>
    <n v="125"/>
    <n v="16932"/>
    <n v="15601"/>
    <m/>
    <s v="Суббота"/>
    <x v="1"/>
    <n v="6.4170560024170813E-3"/>
    <n v="254749.89600000001"/>
  </r>
  <r>
    <d v="2020-05-05T00:00:00"/>
    <x v="13"/>
    <n v="10147.5"/>
    <n v="793320"/>
    <n v="10"/>
    <n v="511"/>
    <n v="437"/>
    <m/>
    <s v="Вторник"/>
    <x v="4"/>
    <n v="1.5986750763070047E-4"/>
    <n v="79332"/>
  </r>
  <r>
    <d v="2020-05-02T00:00:00"/>
    <x v="12"/>
    <n v="232903.5"/>
    <n v="24342016.5"/>
    <n v="129"/>
    <n v="14009"/>
    <n v="12920"/>
    <m/>
    <s v="Суббота"/>
    <x v="1"/>
    <n v="4.9053314029148219E-3"/>
    <n v="188697.8023255814"/>
  </r>
  <r>
    <d v="2020-05-13T00:00:00"/>
    <x v="13"/>
    <n v="11202"/>
    <n v="865714.5"/>
    <n v="10"/>
    <n v="612"/>
    <n v="530"/>
    <m/>
    <s v="Среда"/>
    <x v="2"/>
    <n v="1.7445623384606217E-4"/>
    <n v="86571.45"/>
  </r>
  <r>
    <d v="2020-05-03T00:00:00"/>
    <x v="1"/>
    <n v="70581"/>
    <n v="6221320.5"/>
    <n v="36"/>
    <n v="4751"/>
    <n v="4370"/>
    <m/>
    <s v="Воскресенье"/>
    <x v="1"/>
    <n v="1.2537021662214279E-3"/>
    <n v="172814.45833333334"/>
  </r>
  <r>
    <d v="2020-05-31T00:00:00"/>
    <x v="2"/>
    <n v="89149.5"/>
    <n v="7512646.5"/>
    <n v="31"/>
    <n v="5760"/>
    <n v="5367"/>
    <m/>
    <s v="Воскресенье"/>
    <x v="0"/>
    <n v="1.5139263748115579E-3"/>
    <n v="242343.43548387097"/>
  </r>
  <r>
    <d v="2020-05-03T00:00:00"/>
    <x v="13"/>
    <n v="8185.5"/>
    <n v="637881"/>
    <n v="10"/>
    <n v="402"/>
    <n v="333"/>
    <m/>
    <s v="Воскресенье"/>
    <x v="1"/>
    <n v="1.2854389859700858E-4"/>
    <n v="63788.1"/>
  </r>
  <r>
    <d v="2020-05-03T00:00:00"/>
    <x v="3"/>
    <n v="29935.5"/>
    <n v="2720002.5"/>
    <n v="20"/>
    <n v="1716"/>
    <n v="1561"/>
    <m/>
    <s v="Воскресенье"/>
    <x v="1"/>
    <n v="5.4812688502026217E-4"/>
    <n v="136000.125"/>
  </r>
  <r>
    <d v="2020-05-30T00:00:00"/>
    <x v="2"/>
    <n v="108123"/>
    <n v="9164707.5"/>
    <n v="31"/>
    <n v="6735"/>
    <n v="6264"/>
    <m/>
    <s v="Суббота"/>
    <x v="0"/>
    <n v="1.846844837126743E-3"/>
    <n v="295635.72580645164"/>
  </r>
  <r>
    <d v="2020-05-06T00:00:00"/>
    <x v="13"/>
    <n v="9210"/>
    <n v="696832.5"/>
    <n v="10"/>
    <n v="465"/>
    <n v="390"/>
    <m/>
    <s v="Среда"/>
    <x v="4"/>
    <n v="1.4042363108338385E-4"/>
    <n v="69683.25"/>
  </r>
  <r>
    <d v="2020-05-03T00:00:00"/>
    <x v="5"/>
    <n v="21343.5"/>
    <n v="1906557"/>
    <n v="19"/>
    <n v="1314"/>
    <n v="1192"/>
    <m/>
    <s v="Воскресенье"/>
    <x v="1"/>
    <n v="3.8420374596110697E-4"/>
    <n v="100345.10526315789"/>
  </r>
  <r>
    <d v="2020-05-23T00:00:00"/>
    <x v="13"/>
    <n v="14773.5"/>
    <n v="1241383.5"/>
    <n v="10"/>
    <n v="828"/>
    <n v="734"/>
    <m/>
    <s v="Суббота"/>
    <x v="3"/>
    <n v="2.5015994322451928E-4"/>
    <n v="124138.35"/>
  </r>
  <r>
    <d v="2020-05-03T00:00:00"/>
    <x v="6"/>
    <n v="248148"/>
    <n v="25519072.5"/>
    <n v="54"/>
    <n v="14823"/>
    <n v="13751"/>
    <m/>
    <s v="Воскресенье"/>
    <x v="1"/>
    <n v="5.1425282579818342E-3"/>
    <n v="472575.41666666669"/>
  </r>
  <r>
    <d v="2020-05-28T00:00:00"/>
    <x v="2"/>
    <n v="78141"/>
    <n v="6641569.5"/>
    <n v="31"/>
    <n v="5355"/>
    <n v="4969"/>
    <m/>
    <s v="Четверг"/>
    <x v="0"/>
    <n v="1.3383895057745645E-3"/>
    <n v="214244.17741935485"/>
  </r>
  <r>
    <d v="2020-05-03T00:00:00"/>
    <x v="7"/>
    <n v="257215.5"/>
    <n v="26492278.5"/>
    <n v="59"/>
    <n v="15277"/>
    <n v="14163"/>
    <m/>
    <s v="Воскресенье"/>
    <x v="1"/>
    <n v="5.3386458620145617E-3"/>
    <n v="449021.66949152545"/>
  </r>
  <r>
    <d v="2020-05-25T00:00:00"/>
    <x v="13"/>
    <n v="12280.5"/>
    <n v="1030440"/>
    <n v="10"/>
    <n v="739"/>
    <n v="642"/>
    <m/>
    <s v="Понедельник"/>
    <x v="0"/>
    <n v="2.07651230982427E-4"/>
    <n v="103044"/>
  </r>
  <r>
    <d v="2020-05-03T00:00:00"/>
    <x v="8"/>
    <n v="23539.5"/>
    <n v="2170309.5"/>
    <n v="19"/>
    <n v="1402"/>
    <n v="1234"/>
    <m/>
    <s v="Воскресенье"/>
    <x v="1"/>
    <n v="4.3735437219814415E-4"/>
    <n v="114226.81578947368"/>
  </r>
  <r>
    <d v="2020-05-03T00:00:00"/>
    <x v="9"/>
    <n v="10032"/>
    <n v="816150"/>
    <n v="15"/>
    <n v="585"/>
    <n v="502"/>
    <m/>
    <s v="Воскресенье"/>
    <x v="1"/>
    <n v="1.6446814192607798E-4"/>
    <n v="54410"/>
  </r>
  <r>
    <d v="2020-05-10T00:00:00"/>
    <x v="13"/>
    <n v="12918"/>
    <n v="1004788.5"/>
    <n v="10"/>
    <n v="642"/>
    <n v="556"/>
    <m/>
    <s v="Воскресенье"/>
    <x v="4"/>
    <n v="2.0248201632505177E-4"/>
    <n v="100478.85"/>
  </r>
  <r>
    <d v="2020-05-03T00:00:00"/>
    <x v="10"/>
    <n v="12924"/>
    <n v="1120009.5"/>
    <n v="15"/>
    <n v="784"/>
    <n v="696"/>
    <m/>
    <s v="Воскресенье"/>
    <x v="1"/>
    <n v="2.2570101256454774E-4"/>
    <n v="74667.3"/>
  </r>
  <r>
    <d v="2020-05-08T00:00:00"/>
    <x v="13"/>
    <n v="12528"/>
    <n v="959703"/>
    <n v="10"/>
    <n v="638"/>
    <n v="547"/>
    <m/>
    <s v="Пятница"/>
    <x v="4"/>
    <n v="1.9339651928062588E-4"/>
    <n v="95970.3"/>
  </r>
  <r>
    <d v="2020-05-03T00:00:00"/>
    <x v="14"/>
    <n v="8127"/>
    <n v="665302.5"/>
    <n v="15"/>
    <n v="455"/>
    <n v="384"/>
    <m/>
    <s v="Воскресенье"/>
    <x v="1"/>
    <n v="1.340697984362856E-4"/>
    <n v="44353.5"/>
  </r>
  <r>
    <d v="2020-05-07T00:00:00"/>
    <x v="13"/>
    <n v="11029.5"/>
    <n v="863754"/>
    <n v="10"/>
    <n v="563"/>
    <n v="486"/>
    <m/>
    <s v="Четверг"/>
    <x v="4"/>
    <n v="1.7406115966576923E-4"/>
    <n v="86375.4"/>
  </r>
  <r>
    <d v="2020-05-03T00:00:00"/>
    <x v="11"/>
    <n v="342666"/>
    <n v="36631999.5"/>
    <n v="125"/>
    <n v="18861"/>
    <n v="17420"/>
    <m/>
    <s v="Воскресенье"/>
    <x v="1"/>
    <n v="7.3819725452453806E-3"/>
    <n v="293055.99599999998"/>
  </r>
  <r>
    <d v="2020-05-24T00:00:00"/>
    <x v="13"/>
    <n v="9994.5"/>
    <n v="828984"/>
    <n v="10"/>
    <n v="639"/>
    <n v="557"/>
    <m/>
    <s v="Воскресенье"/>
    <x v="3"/>
    <n v="1.6705441177044394E-4"/>
    <n v="82898.399999999994"/>
  </r>
  <r>
    <d v="2020-05-03T00:00:00"/>
    <x v="12"/>
    <n v="274083"/>
    <n v="28427001"/>
    <n v="129"/>
    <n v="15778"/>
    <n v="14624"/>
    <m/>
    <s v="Воскресенье"/>
    <x v="1"/>
    <n v="5.7285254365015753E-3"/>
    <n v="220364.34883720931"/>
  </r>
  <r>
    <d v="2020-05-31T00:00:00"/>
    <x v="13"/>
    <n v="12724.5"/>
    <n v="1045515"/>
    <n v="10"/>
    <n v="749"/>
    <n v="655"/>
    <m/>
    <s v="Воскресенье"/>
    <x v="0"/>
    <n v="2.1068910054015001E-4"/>
    <n v="104551.5"/>
  </r>
  <r>
    <d v="2020-05-30T00:00:00"/>
    <x v="13"/>
    <n v="14728.5"/>
    <n v="1260483"/>
    <n v="10"/>
    <n v="865"/>
    <n v="763"/>
    <m/>
    <s v="Суббота"/>
    <x v="0"/>
    <n v="2.5400881815770208E-4"/>
    <n v="126048.3"/>
  </r>
  <r>
    <d v="2020-05-04T00:00:00"/>
    <x v="1"/>
    <n v="64108.5"/>
    <n v="5561452.5"/>
    <n v="36"/>
    <n v="4508"/>
    <n v="4149"/>
    <m/>
    <s v="Понедельник"/>
    <x v="4"/>
    <n v="1.1207275122038121E-3"/>
    <n v="154484.79166666666"/>
  </r>
  <r>
    <d v="2020-05-28T00:00:00"/>
    <x v="13"/>
    <n v="13038"/>
    <n v="1114552.5"/>
    <n v="10"/>
    <n v="791"/>
    <n v="697"/>
    <m/>
    <s v="Четверг"/>
    <x v="0"/>
    <n v="2.2460133401220979E-4"/>
    <n v="111455.25"/>
  </r>
  <r>
    <d v="2020-05-16T00:00:00"/>
    <x v="8"/>
    <n v="35482.5"/>
    <n v="3222517.5"/>
    <n v="19"/>
    <n v="2080"/>
    <n v="1844"/>
    <m/>
    <s v="Суббота"/>
    <x v="2"/>
    <n v="6.4939222636680762E-4"/>
    <n v="169606.18421052632"/>
  </r>
  <r>
    <d v="2020-05-04T00:00:00"/>
    <x v="3"/>
    <n v="30780"/>
    <n v="2817853.5"/>
    <n v="20"/>
    <n v="1804"/>
    <n v="1638"/>
    <m/>
    <s v="Понедельник"/>
    <x v="4"/>
    <n v="5.6784553006787423E-4"/>
    <n v="140892.67499999999"/>
  </r>
  <r>
    <d v="2020-05-19T00:00:00"/>
    <x v="8"/>
    <n v="32434.5"/>
    <n v="2865337.5"/>
    <n v="19"/>
    <n v="1999"/>
    <n v="1799"/>
    <m/>
    <s v="Вторник"/>
    <x v="3"/>
    <n v="5.774143657613349E-4"/>
    <n v="150807.23684210525"/>
  </r>
  <r>
    <d v="2020-05-17T00:00:00"/>
    <x v="8"/>
    <n v="30486"/>
    <n v="2694289.5"/>
    <n v="19"/>
    <n v="1871"/>
    <n v="1660"/>
    <m/>
    <s v="Воскресенье"/>
    <x v="2"/>
    <n v="5.4294527706419372E-4"/>
    <n v="141804.71052631579"/>
  </r>
  <r>
    <d v="2020-05-04T00:00:00"/>
    <x v="5"/>
    <n v="23587.5"/>
    <n v="2155668"/>
    <n v="19"/>
    <n v="1479"/>
    <n v="1346"/>
    <m/>
    <s v="Понедельник"/>
    <x v="4"/>
    <n v="4.3440386028242931E-4"/>
    <n v="113456.21052631579"/>
  </r>
  <r>
    <d v="2020-05-09T00:00:00"/>
    <x v="8"/>
    <n v="32079"/>
    <n v="2902167"/>
    <n v="19"/>
    <n v="1851"/>
    <n v="1635"/>
    <m/>
    <s v="Суббота"/>
    <x v="4"/>
    <n v="5.8483613802509334E-4"/>
    <n v="152745.63157894736"/>
  </r>
  <r>
    <d v="2020-05-04T00:00:00"/>
    <x v="6"/>
    <n v="223617"/>
    <n v="22796827.5"/>
    <n v="54"/>
    <n v="13606"/>
    <n v="12697"/>
    <m/>
    <s v="Понедельник"/>
    <x v="4"/>
    <n v="4.5939494709726367E-3"/>
    <n v="422163.47222222225"/>
  </r>
  <r>
    <d v="2020-05-04T00:00:00"/>
    <x v="8"/>
    <n v="27072"/>
    <n v="2450968.5"/>
    <n v="19"/>
    <n v="1582"/>
    <n v="1403"/>
    <m/>
    <s v="Понедельник"/>
    <x v="4"/>
    <n v="4.9391194647349927E-4"/>
    <n v="128998.34210526316"/>
  </r>
  <r>
    <d v="2020-05-04T00:00:00"/>
    <x v="7"/>
    <n v="237544.5"/>
    <n v="24292218"/>
    <n v="59"/>
    <n v="14423"/>
    <n v="13432"/>
    <m/>
    <s v="Понедельник"/>
    <x v="4"/>
    <n v="4.8952961560046878E-3"/>
    <n v="411732.50847457629"/>
  </r>
  <r>
    <d v="2020-05-04T00:00:00"/>
    <x v="9"/>
    <n v="11062.5"/>
    <n v="906343.5"/>
    <n v="15"/>
    <n v="622"/>
    <n v="538"/>
    <m/>
    <s v="Понедельник"/>
    <x v="4"/>
    <n v="1.8264367014859801E-4"/>
    <n v="60422.9"/>
  </r>
  <r>
    <d v="2020-05-26T00:00:00"/>
    <x v="8"/>
    <n v="31407"/>
    <n v="2907411"/>
    <n v="20"/>
    <n v="2036"/>
    <n v="1790"/>
    <m/>
    <s v="Вторник"/>
    <x v="0"/>
    <n v="5.8589289344537191E-4"/>
    <n v="145370.54999999999"/>
  </r>
  <r>
    <d v="2020-05-04T00:00:00"/>
    <x v="10"/>
    <n v="12301.5"/>
    <n v="1085211"/>
    <n v="15"/>
    <n v="750"/>
    <n v="647"/>
    <m/>
    <s v="Понедельник"/>
    <x v="4"/>
    <n v="2.1868852143324267E-4"/>
    <n v="72347.399999999994"/>
  </r>
  <r>
    <d v="2020-05-04T00:00:00"/>
    <x v="14"/>
    <n v="7087.5"/>
    <n v="610855.5"/>
    <n v="15"/>
    <n v="390"/>
    <n v="315"/>
    <m/>
    <s v="Понедельник"/>
    <x v="4"/>
    <n v="1.2309779951029262E-4"/>
    <n v="40723.699999999997"/>
  </r>
  <r>
    <d v="2020-05-12T00:00:00"/>
    <x v="8"/>
    <n v="26032.5"/>
    <n v="2370432"/>
    <n v="19"/>
    <n v="1649"/>
    <n v="1460"/>
    <m/>
    <s v="Вторник"/>
    <x v="2"/>
    <n v="4.7768246842138929E-4"/>
    <n v="124759.57894736843"/>
  </r>
  <r>
    <d v="2020-05-04T00:00:00"/>
    <x v="11"/>
    <n v="360255"/>
    <n v="38406954"/>
    <n v="125"/>
    <n v="20495"/>
    <n v="18964"/>
    <m/>
    <s v="Понедельник"/>
    <x v="4"/>
    <n v="7.7396561433809331E-3"/>
    <n v="307255.63199999998"/>
  </r>
  <r>
    <d v="2020-05-21T00:00:00"/>
    <x v="8"/>
    <n v="31707"/>
    <n v="2853181.5"/>
    <n v="19"/>
    <n v="1949"/>
    <n v="1724"/>
    <m/>
    <s v="Четверг"/>
    <x v="3"/>
    <n v="5.7496472447817197E-4"/>
    <n v="150167.44736842104"/>
  </r>
  <r>
    <d v="2020-05-04T00:00:00"/>
    <x v="12"/>
    <n v="283942.5"/>
    <n v="29357940"/>
    <n v="129"/>
    <n v="16525"/>
    <n v="15310"/>
    <m/>
    <s v="Понедельник"/>
    <x v="4"/>
    <n v="5.9161255193007191E-3"/>
    <n v="227580.93023255814"/>
  </r>
  <r>
    <d v="2020-05-20T00:00:00"/>
    <x v="8"/>
    <n v="29955"/>
    <n v="2692230"/>
    <n v="19"/>
    <n v="1889"/>
    <n v="1690"/>
    <m/>
    <s v="Среда"/>
    <x v="3"/>
    <n v="5.4253025269576053E-4"/>
    <n v="141696.31578947368"/>
  </r>
  <r>
    <d v="2020-05-05T00:00:00"/>
    <x v="8"/>
    <n v="22848"/>
    <n v="2079900"/>
    <n v="19"/>
    <n v="1417"/>
    <n v="1245"/>
    <m/>
    <s v="Вторник"/>
    <x v="4"/>
    <n v="4.1913531629240899E-4"/>
    <n v="109468.42105263157"/>
  </r>
  <r>
    <d v="2020-05-05T00:00:00"/>
    <x v="1"/>
    <n v="66396"/>
    <n v="5770539"/>
    <n v="36"/>
    <n v="4575"/>
    <n v="4206"/>
    <m/>
    <s v="Вторник"/>
    <x v="4"/>
    <n v="1.1628620072804854E-3"/>
    <n v="160292.75"/>
  </r>
  <r>
    <d v="2020-05-13T00:00:00"/>
    <x v="8"/>
    <n v="26464.5"/>
    <n v="2373337.5"/>
    <n v="19"/>
    <n v="1625"/>
    <n v="1444"/>
    <m/>
    <s v="Среда"/>
    <x v="2"/>
    <n v="4.7826797621574848E-4"/>
    <n v="124912.5"/>
  </r>
  <r>
    <d v="2020-05-05T00:00:00"/>
    <x v="3"/>
    <n v="29482.5"/>
    <n v="2648688"/>
    <n v="20"/>
    <n v="1757"/>
    <n v="1596"/>
    <m/>
    <s v="Вторник"/>
    <x v="4"/>
    <n v="5.337557972209761E-4"/>
    <n v="132434.4"/>
  </r>
  <r>
    <d v="2020-05-06T00:00:00"/>
    <x v="8"/>
    <n v="24678"/>
    <n v="2232519"/>
    <n v="19"/>
    <n v="1499"/>
    <n v="1323"/>
    <m/>
    <s v="Среда"/>
    <x v="4"/>
    <n v="4.4989064723968106E-4"/>
    <n v="117501"/>
  </r>
  <r>
    <d v="2020-05-05T00:00:00"/>
    <x v="5"/>
    <n v="26367"/>
    <n v="2380333.5"/>
    <n v="19"/>
    <n v="1622"/>
    <n v="1482"/>
    <m/>
    <s v="Вторник"/>
    <x v="4"/>
    <n v="4.7967778951099426E-4"/>
    <n v="125280.71052631579"/>
  </r>
  <r>
    <d v="2020-05-23T00:00:00"/>
    <x v="8"/>
    <n v="38176.5"/>
    <n v="3385372.5"/>
    <n v="20"/>
    <n v="2266"/>
    <n v="1993"/>
    <m/>
    <s v="Суббота"/>
    <x v="3"/>
    <n v="6.8221028585755241E-4"/>
    <n v="169268.625"/>
  </r>
  <r>
    <d v="2020-05-05T00:00:00"/>
    <x v="6"/>
    <n v="203832"/>
    <n v="20880142.5"/>
    <n v="54"/>
    <n v="12775"/>
    <n v="11887"/>
    <m/>
    <s v="Вторник"/>
    <x v="4"/>
    <n v="4.2077047603096647E-3"/>
    <n v="386669.30555555556"/>
  </r>
  <r>
    <d v="2020-05-25T00:00:00"/>
    <x v="8"/>
    <n v="30603"/>
    <n v="2865727.5"/>
    <n v="20"/>
    <n v="2011"/>
    <n v="1791"/>
    <m/>
    <s v="Понедельник"/>
    <x v="0"/>
    <n v="5.7749295741158445E-4"/>
    <n v="143286.375"/>
  </r>
  <r>
    <d v="2020-05-05T00:00:00"/>
    <x v="7"/>
    <n v="213582"/>
    <n v="21919435.5"/>
    <n v="59"/>
    <n v="13469"/>
    <n v="12486"/>
    <m/>
    <s v="Вторник"/>
    <x v="4"/>
    <n v="4.4171400217527567E-3"/>
    <n v="371515.85593220341"/>
  </r>
  <r>
    <d v="2020-05-10T00:00:00"/>
    <x v="8"/>
    <n v="31399.5"/>
    <n v="2862298.5"/>
    <n v="19"/>
    <n v="1848"/>
    <n v="1649"/>
    <m/>
    <s v="Воскресенье"/>
    <x v="4"/>
    <n v="5.7680195544054411E-4"/>
    <n v="150647.28947368421"/>
  </r>
  <r>
    <d v="2020-05-05T00:00:00"/>
    <x v="9"/>
    <n v="13941"/>
    <n v="1145575.5"/>
    <n v="15"/>
    <n v="750"/>
    <n v="658"/>
    <m/>
    <s v="Вторник"/>
    <x v="4"/>
    <n v="2.3085299751398364E-4"/>
    <n v="76371.7"/>
  </r>
  <r>
    <d v="2020-05-08T00:00:00"/>
    <x v="8"/>
    <n v="25294.5"/>
    <n v="2271454.5"/>
    <n v="19"/>
    <n v="1522"/>
    <n v="1340"/>
    <m/>
    <s v="Пятница"/>
    <x v="4"/>
    <n v="4.5773681441478711E-4"/>
    <n v="119550.23684210527"/>
  </r>
  <r>
    <d v="2020-05-05T00:00:00"/>
    <x v="10"/>
    <n v="15987"/>
    <n v="1384179"/>
    <n v="15"/>
    <n v="922"/>
    <n v="823"/>
    <m/>
    <s v="Вторник"/>
    <x v="4"/>
    <n v="2.7893567141223637E-4"/>
    <n v="92278.6"/>
  </r>
  <r>
    <d v="2020-05-07T00:00:00"/>
    <x v="8"/>
    <n v="25468.5"/>
    <n v="2350672.5"/>
    <n v="19"/>
    <n v="1530"/>
    <n v="1338"/>
    <m/>
    <s v="Четверг"/>
    <x v="4"/>
    <n v="4.7370059223393807E-4"/>
    <n v="123719.60526315789"/>
  </r>
  <r>
    <d v="2020-05-05T00:00:00"/>
    <x v="14"/>
    <n v="8223"/>
    <n v="694593"/>
    <n v="15"/>
    <n v="455"/>
    <n v="381"/>
    <m/>
    <s v="Вторник"/>
    <x v="4"/>
    <n v="1.3997233364560472E-4"/>
    <n v="46306.2"/>
  </r>
  <r>
    <d v="2020-05-24T00:00:00"/>
    <x v="8"/>
    <n v="31854"/>
    <n v="2915533.5"/>
    <n v="20"/>
    <n v="2015"/>
    <n v="1803"/>
    <m/>
    <s v="Воскресенье"/>
    <x v="3"/>
    <n v="5.8752971569960781E-4"/>
    <n v="145776.67499999999"/>
  </r>
  <r>
    <d v="2020-05-05T00:00:00"/>
    <x v="11"/>
    <n v="333792"/>
    <n v="35671734"/>
    <n v="125"/>
    <n v="18944"/>
    <n v="17541"/>
    <m/>
    <s v="Вторник"/>
    <x v="4"/>
    <n v="7.1884626726230489E-3"/>
    <n v="285373.87199999997"/>
  </r>
  <r>
    <d v="2020-05-31T00:00:00"/>
    <x v="8"/>
    <n v="32359.5"/>
    <n v="2991999"/>
    <n v="20"/>
    <n v="2060"/>
    <n v="1826"/>
    <m/>
    <s v="Воскресенье"/>
    <x v="0"/>
    <n v="6.029388178333436E-4"/>
    <n v="149599.95000000001"/>
  </r>
  <r>
    <d v="2020-05-05T00:00:00"/>
    <x v="12"/>
    <n v="262734"/>
    <n v="27278441.145"/>
    <n v="129"/>
    <n v="15665"/>
    <n v="14501"/>
    <m/>
    <s v="Вторник"/>
    <x v="4"/>
    <n v="5.4970710405661035E-3"/>
    <n v="211460.78406976743"/>
  </r>
  <r>
    <d v="2020-05-30T00:00:00"/>
    <x v="8"/>
    <n v="39867"/>
    <n v="3654166.5"/>
    <n v="20"/>
    <n v="2451"/>
    <n v="2178"/>
    <m/>
    <s v="Суббота"/>
    <x v="0"/>
    <n v="7.3637686031185405E-4"/>
    <n v="182708.32500000001"/>
  </r>
  <r>
    <d v="2020-05-28T00:00:00"/>
    <x v="8"/>
    <n v="31974"/>
    <n v="3004213.5"/>
    <n v="20"/>
    <n v="2088"/>
    <n v="1848"/>
    <m/>
    <s v="Четверг"/>
    <x v="0"/>
    <n v="6.0540024786404393E-4"/>
    <n v="150210.67499999999"/>
  </r>
  <r>
    <d v="2020-05-06T00:00:00"/>
    <x v="1"/>
    <n v="63012"/>
    <n v="5454121.5"/>
    <n v="36"/>
    <n v="4384"/>
    <n v="4025"/>
    <m/>
    <s v="Среда"/>
    <x v="4"/>
    <n v="1.0990984855039801E-3"/>
    <n v="151503.375"/>
  </r>
  <r>
    <d v="2020-05-16T00:00:00"/>
    <x v="12"/>
    <n v="321412.5"/>
    <n v="32235864"/>
    <n v="129"/>
    <n v="17914"/>
    <n v="16631"/>
    <m/>
    <s v="Суббота"/>
    <x v="2"/>
    <n v="6.4960762794360688E-3"/>
    <n v="249890.41860465117"/>
  </r>
  <r>
    <d v="2020-05-19T00:00:00"/>
    <x v="12"/>
    <n v="276568.5"/>
    <n v="27093624"/>
    <n v="129"/>
    <n v="16191"/>
    <n v="15102"/>
    <m/>
    <s v="Вторник"/>
    <x v="3"/>
    <n v="5.459827234361077E-3"/>
    <n v="210028.09302325582"/>
  </r>
  <r>
    <d v="2020-05-06T00:00:00"/>
    <x v="3"/>
    <n v="30342"/>
    <n v="2738127"/>
    <n v="20"/>
    <n v="1747"/>
    <n v="1570"/>
    <m/>
    <s v="Среда"/>
    <x v="4"/>
    <n v="5.5177928082782103E-4"/>
    <n v="136906.35"/>
  </r>
  <r>
    <d v="2020-05-17T00:00:00"/>
    <x v="12"/>
    <n v="269029.5"/>
    <n v="26659930.5"/>
    <n v="129"/>
    <n v="15744"/>
    <n v="14685"/>
    <m/>
    <s v="Воскресенье"/>
    <x v="2"/>
    <n v="5.3724305988033759E-3"/>
    <n v="206666.12790697673"/>
  </r>
  <r>
    <d v="2020-05-09T00:00:00"/>
    <x v="12"/>
    <n v="285972"/>
    <n v="29768199"/>
    <n v="129"/>
    <n v="16420"/>
    <n v="15169"/>
    <m/>
    <s v="Суббота"/>
    <x v="4"/>
    <n v="5.9987997035051551E-3"/>
    <n v="230761.23255813954"/>
  </r>
  <r>
    <d v="2020-05-06T00:00:00"/>
    <x v="5"/>
    <n v="24337.5"/>
    <n v="2159350.5"/>
    <n v="19"/>
    <n v="1509"/>
    <n v="1374"/>
    <m/>
    <s v="Среда"/>
    <x v="4"/>
    <n v="4.3514594682613178E-4"/>
    <n v="113650.02631578948"/>
  </r>
  <r>
    <d v="2020-05-06T00:00:00"/>
    <x v="6"/>
    <n v="216498"/>
    <n v="22126444.5"/>
    <n v="54"/>
    <n v="13406"/>
    <n v="12518"/>
    <m/>
    <s v="Среда"/>
    <x v="4"/>
    <n v="4.4588558651540615E-3"/>
    <n v="409748.97222222225"/>
  </r>
  <r>
    <d v="2020-05-06T00:00:00"/>
    <x v="7"/>
    <n v="224779.5"/>
    <n v="23032992"/>
    <n v="59"/>
    <n v="14103"/>
    <n v="13118"/>
    <m/>
    <s v="Среда"/>
    <x v="4"/>
    <n v="4.6415406447812523E-3"/>
    <n v="390389.69491525425"/>
  </r>
  <r>
    <d v="2020-05-26T00:00:00"/>
    <x v="12"/>
    <n v="276966"/>
    <n v="27872617.898850001"/>
    <n v="129"/>
    <n v="16459"/>
    <n v="15355"/>
    <m/>
    <s v="Вторник"/>
    <x v="0"/>
    <n v="5.6168077883224938E-3"/>
    <n v="216066.80541744188"/>
  </r>
  <r>
    <d v="2020-05-06T00:00:00"/>
    <x v="9"/>
    <n v="12468"/>
    <n v="1016566.5"/>
    <n v="15"/>
    <n v="701"/>
    <n v="611"/>
    <m/>
    <s v="Среда"/>
    <x v="4"/>
    <n v="2.0485548416258818E-4"/>
    <n v="67771.100000000006"/>
  </r>
  <r>
    <d v="2020-05-06T00:00:00"/>
    <x v="10"/>
    <n v="14061"/>
    <n v="1221057"/>
    <n v="15"/>
    <n v="839"/>
    <n v="733"/>
    <m/>
    <s v="Среда"/>
    <x v="4"/>
    <n v="2.4606380686862831E-4"/>
    <n v="81403.8"/>
  </r>
  <r>
    <d v="2020-05-12T00:00:00"/>
    <x v="12"/>
    <n v="281796"/>
    <n v="29042520"/>
    <n v="129"/>
    <n v="16387"/>
    <n v="15322"/>
    <m/>
    <s v="Вторник"/>
    <x v="2"/>
    <n v="5.8525630107835059E-3"/>
    <n v="225135.81395348837"/>
  </r>
  <r>
    <d v="2020-05-06T00:00:00"/>
    <x v="14"/>
    <n v="8464.5"/>
    <n v="739291.5"/>
    <n v="15"/>
    <n v="467"/>
    <n v="389"/>
    <m/>
    <s v="Среда"/>
    <x v="4"/>
    <n v="1.4897984359093681E-4"/>
    <n v="49286.1"/>
  </r>
  <r>
    <d v="2020-05-21T00:00:00"/>
    <x v="12"/>
    <n v="288936"/>
    <n v="27852900"/>
    <n v="129"/>
    <n v="16373"/>
    <n v="15223"/>
    <m/>
    <s v="Четверг"/>
    <x v="3"/>
    <n v="5.6128342954761467E-3"/>
    <n v="215913.95348837209"/>
  </r>
  <r>
    <d v="2020-05-06T00:00:00"/>
    <x v="11"/>
    <n v="355278"/>
    <n v="38092344"/>
    <n v="125"/>
    <n v="20218"/>
    <n v="18647"/>
    <m/>
    <s v="Среда"/>
    <x v="4"/>
    <n v="7.676256863675777E-3"/>
    <n v="304738.75199999998"/>
  </r>
  <r>
    <d v="2020-05-20T00:00:00"/>
    <x v="12"/>
    <n v="300151.5"/>
    <n v="29368771.617449999"/>
    <n v="129"/>
    <n v="17095"/>
    <n v="15919"/>
    <m/>
    <s v="Среда"/>
    <x v="3"/>
    <n v="5.9183082749167887E-3"/>
    <n v="227664.8962593023"/>
  </r>
  <r>
    <d v="2020-05-06T00:00:00"/>
    <x v="12"/>
    <n v="277512"/>
    <n v="28770810.105599999"/>
    <n v="129"/>
    <n v="16376"/>
    <n v="15197"/>
    <m/>
    <s v="Среда"/>
    <x v="4"/>
    <n v="5.7978088338860008E-3"/>
    <n v="223029.53570232558"/>
  </r>
  <r>
    <d v="2020-05-07T00:00:00"/>
    <x v="1"/>
    <n v="71067"/>
    <n v="6175837.5"/>
    <n v="36"/>
    <n v="4826"/>
    <n v="4426"/>
    <m/>
    <s v="Четверг"/>
    <x v="4"/>
    <n v="1.2445365661488631E-3"/>
    <n v="171551.04166666666"/>
  </r>
  <r>
    <d v="2020-05-13T00:00:00"/>
    <x v="12"/>
    <n v="258459"/>
    <n v="26467453.5"/>
    <n v="129"/>
    <n v="15304"/>
    <n v="14315"/>
    <m/>
    <s v="Среда"/>
    <x v="2"/>
    <n v="5.3336432012005995E-3"/>
    <n v="205174.05813953487"/>
  </r>
  <r>
    <d v="2020-05-07T00:00:00"/>
    <x v="3"/>
    <n v="32851.5"/>
    <n v="2934504"/>
    <n v="21"/>
    <n v="1879"/>
    <n v="1695"/>
    <m/>
    <s v="Четверг"/>
    <x v="4"/>
    <n v="5.9135259493309266E-4"/>
    <n v="139738.28571428571"/>
  </r>
  <r>
    <d v="2020-05-23T00:00:00"/>
    <x v="12"/>
    <n v="356982"/>
    <n v="35103926.711549997"/>
    <n v="129"/>
    <n v="19856"/>
    <n v="18325"/>
    <m/>
    <s v="Суббота"/>
    <x v="3"/>
    <n v="7.074039821794823E-3"/>
    <n v="272123.46288023255"/>
  </r>
  <r>
    <d v="2020-05-07T00:00:00"/>
    <x v="5"/>
    <n v="26184"/>
    <n v="2308336.5"/>
    <n v="19"/>
    <n v="1580"/>
    <n v="1435"/>
    <m/>
    <s v="Четверг"/>
    <x v="4"/>
    <n v="4.6516916632377152E-4"/>
    <n v="121491.39473684211"/>
  </r>
  <r>
    <d v="2020-05-25T00:00:00"/>
    <x v="12"/>
    <n v="266983.5"/>
    <n v="27165913.5"/>
    <n v="129"/>
    <n v="15822"/>
    <n v="14753"/>
    <m/>
    <s v="Понедельник"/>
    <x v="0"/>
    <n v="5.4743948012859868E-3"/>
    <n v="210588.47674418605"/>
  </r>
  <r>
    <d v="2020-05-07T00:00:00"/>
    <x v="6"/>
    <n v="209415"/>
    <n v="21463023"/>
    <n v="54"/>
    <n v="12743"/>
    <n v="11858"/>
    <m/>
    <s v="Четверг"/>
    <x v="4"/>
    <n v="4.3251651202924415E-3"/>
    <n v="397463.38888888888"/>
  </r>
  <r>
    <d v="2020-05-07T00:00:00"/>
    <x v="7"/>
    <n v="219411"/>
    <n v="22460130"/>
    <n v="59"/>
    <n v="13495"/>
    <n v="12517"/>
    <m/>
    <s v="Четверг"/>
    <x v="4"/>
    <n v="4.5260991833831546E-3"/>
    <n v="380680.16949152545"/>
  </r>
  <r>
    <d v="2020-05-10T00:00:00"/>
    <x v="12"/>
    <n v="287206.5"/>
    <n v="29536176.10605"/>
    <n v="129"/>
    <n v="16437"/>
    <n v="15285"/>
    <m/>
    <s v="Воскресенье"/>
    <x v="4"/>
    <n v="5.9520431339379586E-3"/>
    <n v="228962.6054732558"/>
  </r>
  <r>
    <d v="2020-05-08T00:00:00"/>
    <x v="12"/>
    <n v="370092"/>
    <n v="38091556.5"/>
    <n v="129"/>
    <n v="20452"/>
    <n v="18857"/>
    <m/>
    <s v="Пятница"/>
    <x v="4"/>
    <n v="7.6760981689973883E-3"/>
    <n v="295283.38372093026"/>
  </r>
  <r>
    <d v="2020-05-07T00:00:00"/>
    <x v="9"/>
    <n v="11719.5"/>
    <n v="965880"/>
    <n v="15"/>
    <n v="676"/>
    <n v="591"/>
    <m/>
    <s v="Четверг"/>
    <x v="4"/>
    <n v="1.9464129011034762E-4"/>
    <n v="64392"/>
  </r>
  <r>
    <d v="2020-05-07T00:00:00"/>
    <x v="12"/>
    <n v="247813.5"/>
    <n v="25325271"/>
    <n v="129"/>
    <n v="14582"/>
    <n v="13512"/>
    <m/>
    <s v="Четверг"/>
    <x v="4"/>
    <n v="5.103473951043787E-3"/>
    <n v="196319.93023255814"/>
  </r>
  <r>
    <d v="2020-05-07T00:00:00"/>
    <x v="10"/>
    <n v="12705"/>
    <n v="1123894.5"/>
    <n v="15"/>
    <n v="805"/>
    <n v="703"/>
    <m/>
    <s v="Четверг"/>
    <x v="4"/>
    <n v="2.2648390631126441E-4"/>
    <n v="74926.3"/>
  </r>
  <r>
    <d v="2020-05-24T00:00:00"/>
    <x v="12"/>
    <n v="287740.5"/>
    <n v="28188534"/>
    <n v="129"/>
    <n v="16432"/>
    <n v="15345"/>
    <m/>
    <s v="Воскресенье"/>
    <x v="3"/>
    <n v="5.6804702696809104E-3"/>
    <n v="218515.76744186046"/>
  </r>
  <r>
    <d v="2020-05-07T00:00:00"/>
    <x v="14"/>
    <n v="8719.5"/>
    <n v="769276.5"/>
    <n v="15"/>
    <n v="480"/>
    <n v="398"/>
    <m/>
    <s v="Четверг"/>
    <x v="4"/>
    <n v="1.5502233239281569E-4"/>
    <n v="51285.1"/>
  </r>
  <r>
    <d v="2020-05-16T00:00:00"/>
    <x v="11"/>
    <n v="408810"/>
    <n v="42323631"/>
    <n v="125"/>
    <n v="22291"/>
    <n v="20635"/>
    <m/>
    <s v="Суббота"/>
    <x v="2"/>
    <n v="8.528933345751338E-3"/>
    <n v="338589.04800000001"/>
  </r>
  <r>
    <d v="2020-05-07T00:00:00"/>
    <x v="11"/>
    <n v="319110"/>
    <n v="33763989"/>
    <n v="125"/>
    <n v="18014"/>
    <n v="16675"/>
    <m/>
    <s v="Четверг"/>
    <x v="4"/>
    <n v="6.8040195244042584E-3"/>
    <n v="270111.91200000001"/>
  </r>
  <r>
    <d v="2020-05-19T00:00:00"/>
    <x v="11"/>
    <n v="362536.5"/>
    <n v="37023243"/>
    <n v="125"/>
    <n v="20771"/>
    <n v="19338"/>
    <m/>
    <s v="Вторник"/>
    <x v="3"/>
    <n v="7.4608147819489965E-3"/>
    <n v="296185.94400000002"/>
  </r>
  <r>
    <d v="2020-05-17T00:00:00"/>
    <x v="11"/>
    <n v="357072"/>
    <n v="36834567"/>
    <n v="125"/>
    <n v="20079"/>
    <n v="18721"/>
    <m/>
    <s v="Воскресенье"/>
    <x v="2"/>
    <n v="7.4227933506605757E-3"/>
    <n v="294676.53600000002"/>
  </r>
  <r>
    <d v="2020-05-09T00:00:00"/>
    <x v="11"/>
    <n v="359214"/>
    <n v="38693427"/>
    <n v="125"/>
    <n v="20132"/>
    <n v="18617"/>
    <m/>
    <s v="Суббота"/>
    <x v="4"/>
    <n v="7.7973853377961621E-3"/>
    <n v="309547.41600000003"/>
  </r>
  <r>
    <d v="2020-05-08T00:00:00"/>
    <x v="1"/>
    <n v="61804.5"/>
    <n v="5365708.5"/>
    <n v="36"/>
    <n v="4199"/>
    <n v="3867"/>
    <m/>
    <s v="Пятница"/>
    <x v="4"/>
    <n v="1.0812817583924069E-3"/>
    <n v="149047.45833333334"/>
  </r>
  <r>
    <d v="2020-05-08T00:00:00"/>
    <x v="3"/>
    <n v="34399.5"/>
    <n v="3201358.5"/>
    <n v="21"/>
    <n v="1957"/>
    <n v="1755"/>
    <m/>
    <s v="Пятница"/>
    <x v="4"/>
    <n v="6.4512832706519157E-4"/>
    <n v="152445.64285714287"/>
  </r>
  <r>
    <d v="2020-05-26T00:00:00"/>
    <x v="11"/>
    <n v="369861"/>
    <n v="38365960.5"/>
    <n v="124"/>
    <n v="21153"/>
    <n v="19673"/>
    <m/>
    <s v="Вторник"/>
    <x v="0"/>
    <n v="7.7313952541129714E-3"/>
    <n v="309402.90725806454"/>
  </r>
  <r>
    <d v="2020-05-08T00:00:00"/>
    <x v="5"/>
    <n v="25020"/>
    <n v="2235960"/>
    <n v="19"/>
    <n v="1520"/>
    <n v="1380"/>
    <m/>
    <s v="Пятница"/>
    <x v="4"/>
    <n v="4.5058406741534438E-4"/>
    <n v="117682.10526315789"/>
  </r>
  <r>
    <d v="2020-05-08T00:00:00"/>
    <x v="6"/>
    <n v="225076.5"/>
    <n v="22846078.5"/>
    <n v="54"/>
    <n v="13563"/>
    <n v="12604"/>
    <m/>
    <s v="Пятница"/>
    <x v="4"/>
    <n v="4.6038743872968439E-3"/>
    <n v="423075.52777777775"/>
  </r>
  <r>
    <d v="2020-05-12T00:00:00"/>
    <x v="11"/>
    <n v="373392"/>
    <n v="39578577"/>
    <n v="125"/>
    <n v="21106"/>
    <n v="19651"/>
    <m/>
    <s v="Вторник"/>
    <x v="2"/>
    <n v="7.9757581563048522E-3"/>
    <n v="316628.61599999998"/>
  </r>
  <r>
    <d v="2020-05-08T00:00:00"/>
    <x v="7"/>
    <n v="232701"/>
    <n v="23881948.5"/>
    <n v="59"/>
    <n v="14098"/>
    <n v="13106"/>
    <m/>
    <s v="Пятница"/>
    <x v="4"/>
    <n v="4.8126198558712061E-3"/>
    <n v="404778.78813559323"/>
  </r>
  <r>
    <d v="2020-05-21T00:00:00"/>
    <x v="11"/>
    <n v="378043.5"/>
    <n v="37902156.57"/>
    <n v="125"/>
    <n v="20911"/>
    <n v="19358"/>
    <m/>
    <s v="Четверг"/>
    <x v="3"/>
    <n v="7.6379308534695696E-3"/>
    <n v="303217.25255999999"/>
  </r>
  <r>
    <d v="2020-05-20T00:00:00"/>
    <x v="11"/>
    <n v="388668"/>
    <n v="39639309"/>
    <n v="125"/>
    <n v="21674"/>
    <n v="20155"/>
    <m/>
    <s v="Среда"/>
    <x v="3"/>
    <n v="7.987996689902176E-3"/>
    <n v="317114.47200000001"/>
  </r>
  <r>
    <d v="2020-05-08T00:00:00"/>
    <x v="9"/>
    <n v="12976.5"/>
    <n v="1046848.5"/>
    <n v="15"/>
    <n v="703"/>
    <n v="609"/>
    <m/>
    <s v="Пятница"/>
    <x v="4"/>
    <n v="2.1095782352888788E-4"/>
    <n v="69789.899999999994"/>
  </r>
  <r>
    <d v="2020-05-08T00:00:00"/>
    <x v="10"/>
    <n v="14494.5"/>
    <n v="1269786"/>
    <n v="15"/>
    <n v="879"/>
    <n v="768"/>
    <m/>
    <s v="Пятница"/>
    <x v="4"/>
    <n v="2.5588353129173174E-4"/>
    <n v="84652.4"/>
  </r>
  <r>
    <d v="2020-05-08T00:00:00"/>
    <x v="14"/>
    <n v="9058.5"/>
    <n v="798759"/>
    <n v="15"/>
    <n v="492"/>
    <n v="412"/>
    <m/>
    <s v="Пятница"/>
    <x v="4"/>
    <n v="1.6096355887610381E-4"/>
    <n v="53250.6"/>
  </r>
  <r>
    <d v="2020-05-13T00:00:00"/>
    <x v="11"/>
    <n v="350068.5"/>
    <n v="37197115.5"/>
    <n v="125"/>
    <n v="19965"/>
    <n v="18573"/>
    <m/>
    <s v="Среда"/>
    <x v="2"/>
    <n v="7.4958530555592909E-3"/>
    <n v="297576.924"/>
  </r>
  <r>
    <d v="2020-05-08T00:00:00"/>
    <x v="11"/>
    <n v="463530"/>
    <n v="49123180.5"/>
    <n v="125"/>
    <n v="24620"/>
    <n v="22641"/>
    <m/>
    <s v="Пятница"/>
    <x v="4"/>
    <n v="9.8991585153885269E-3"/>
    <n v="392985.44400000002"/>
  </r>
  <r>
    <d v="2020-05-31T00:00:00"/>
    <x v="12"/>
    <n v="294337.5"/>
    <n v="29327766"/>
    <n v="129"/>
    <n v="17235"/>
    <n v="16052"/>
    <m/>
    <s v="Воскресенье"/>
    <x v="0"/>
    <n v="5.9100449437760267E-3"/>
    <n v="227347.02325581395"/>
  </r>
  <r>
    <d v="2020-05-30T00:00:00"/>
    <x v="12"/>
    <n v="364882.5"/>
    <n v="35724493.5"/>
    <n v="129"/>
    <n v="20243"/>
    <n v="18711"/>
    <m/>
    <s v="Суббота"/>
    <x v="0"/>
    <n v="7.199094611523924E-3"/>
    <n v="276934.0581395349"/>
  </r>
  <r>
    <d v="2020-05-09T00:00:00"/>
    <x v="1"/>
    <n v="83373"/>
    <n v="7253427"/>
    <n v="36"/>
    <n v="5413"/>
    <n v="4959"/>
    <m/>
    <s v="Суббота"/>
    <x v="4"/>
    <n v="1.4616892253708829E-3"/>
    <n v="201484.08333333334"/>
  </r>
  <r>
    <d v="2020-05-23T00:00:00"/>
    <x v="11"/>
    <n v="456885"/>
    <n v="46408080"/>
    <n v="125"/>
    <n v="24574"/>
    <n v="22609"/>
    <m/>
    <s v="Суббота"/>
    <x v="3"/>
    <n v="9.3520194669567871E-3"/>
    <n v="371264.64"/>
  </r>
  <r>
    <d v="2020-05-09T00:00:00"/>
    <x v="3"/>
    <n v="32239.5"/>
    <n v="3084892.5"/>
    <n v="21"/>
    <n v="1891"/>
    <n v="1709"/>
    <m/>
    <s v="Суббота"/>
    <x v="4"/>
    <n v="6.2165844209605288E-4"/>
    <n v="146899.64285714287"/>
  </r>
  <r>
    <d v="2020-05-28T00:00:00"/>
    <x v="12"/>
    <n v="278491.5"/>
    <n v="28151004.75"/>
    <n v="129"/>
    <n v="16453"/>
    <n v="15289"/>
    <m/>
    <s v="Четверг"/>
    <x v="0"/>
    <n v="5.6729074858600688E-3"/>
    <n v="218224.84302325582"/>
  </r>
  <r>
    <d v="2020-05-25T00:00:00"/>
    <x v="11"/>
    <n v="349734"/>
    <n v="36883428"/>
    <n v="124"/>
    <n v="20358"/>
    <n v="18890"/>
    <m/>
    <s v="Понедельник"/>
    <x v="0"/>
    <n v="7.4326396753345327E-3"/>
    <n v="297447"/>
  </r>
  <r>
    <d v="2020-05-09T00:00:00"/>
    <x v="5"/>
    <n v="26271"/>
    <n v="2384937"/>
    <n v="19"/>
    <n v="1542"/>
    <n v="1412"/>
    <m/>
    <s v="Суббота"/>
    <x v="4"/>
    <n v="4.806054732595168E-4"/>
    <n v="125523"/>
  </r>
  <r>
    <d v="2020-05-09T00:00:00"/>
    <x v="6"/>
    <n v="177976.5"/>
    <n v="18085798.5"/>
    <n v="54"/>
    <n v="11288"/>
    <n v="10492"/>
    <m/>
    <s v="Суббота"/>
    <x v="4"/>
    <n v="3.6445967953739489E-3"/>
    <n v="334922.19444444444"/>
  </r>
  <r>
    <d v="2020-05-10T00:00:00"/>
    <x v="11"/>
    <n v="368649"/>
    <n v="39010875"/>
    <n v="125"/>
    <n v="20368"/>
    <n v="18884"/>
    <m/>
    <s v="Воскресенье"/>
    <x v="4"/>
    <n v="7.8613565228946736E-3"/>
    <n v="312087"/>
  </r>
  <r>
    <d v="2020-05-09T00:00:00"/>
    <x v="7"/>
    <n v="188319"/>
    <n v="19218631.5"/>
    <n v="59"/>
    <n v="12016"/>
    <n v="11137"/>
    <m/>
    <s v="Суббота"/>
    <x v="4"/>
    <n v="3.8728819618538174E-3"/>
    <n v="325739.51694915252"/>
  </r>
  <r>
    <d v="2020-05-09T00:00:00"/>
    <x v="9"/>
    <n v="11745"/>
    <n v="955801.5"/>
    <n v="15"/>
    <n v="654"/>
    <n v="570"/>
    <m/>
    <s v="Суббота"/>
    <x v="4"/>
    <n v="1.9261030050255249E-4"/>
    <n v="63720.1"/>
  </r>
  <r>
    <d v="2020-05-24T00:00:00"/>
    <x v="11"/>
    <n v="375744"/>
    <n v="38191381.5"/>
    <n v="125"/>
    <n v="21004"/>
    <n v="19556"/>
    <m/>
    <s v="Воскресенье"/>
    <x v="3"/>
    <n v="7.6962146087054938E-3"/>
    <n v="305531.05200000003"/>
  </r>
  <r>
    <d v="2020-05-09T00:00:00"/>
    <x v="10"/>
    <n v="13948.5"/>
    <n v="1222932"/>
    <n v="15"/>
    <n v="849"/>
    <n v="740"/>
    <m/>
    <s v="Суббота"/>
    <x v="4"/>
    <n v="2.4644165134098193E-4"/>
    <n v="81528.800000000003"/>
  </r>
  <r>
    <d v="2020-05-16T00:00:00"/>
    <x v="1"/>
    <n v="81331.5"/>
    <n v="6652179"/>
    <n v="36"/>
    <n v="5286"/>
    <n v="4867"/>
    <m/>
    <s v="Суббота"/>
    <x v="2"/>
    <n v="1.3405275009369302E-3"/>
    <n v="184782.75"/>
  </r>
  <r>
    <d v="2020-05-09T00:00:00"/>
    <x v="14"/>
    <n v="12037.5"/>
    <n v="1081216.5"/>
    <n v="15"/>
    <n v="623"/>
    <n v="535"/>
    <m/>
    <s v="Суббота"/>
    <x v="4"/>
    <n v="2.1788356156934055E-4"/>
    <n v="72081.100000000006"/>
  </r>
  <r>
    <d v="2020-05-19T00:00:00"/>
    <x v="1"/>
    <n v="75796.5"/>
    <n v="6173463"/>
    <n v="36"/>
    <n v="5094"/>
    <n v="4716"/>
    <m/>
    <s v="Вторник"/>
    <x v="3"/>
    <n v="1.2440580639090746E-3"/>
    <n v="171485.08333333334"/>
  </r>
  <r>
    <d v="2020-05-17T00:00:00"/>
    <x v="1"/>
    <n v="72861"/>
    <n v="5952802.5"/>
    <n v="36"/>
    <n v="4918"/>
    <n v="4554"/>
    <m/>
    <s v="Воскресенье"/>
    <x v="2"/>
    <n v="1.1995912104734569E-3"/>
    <n v="165355.625"/>
  </r>
  <r>
    <d v="2020-05-10T00:00:00"/>
    <x v="1"/>
    <n v="88311"/>
    <n v="7726069.5"/>
    <n v="36"/>
    <n v="5746"/>
    <n v="5277"/>
    <m/>
    <s v="Воскресенье"/>
    <x v="4"/>
    <n v="1.5569347485838907E-3"/>
    <n v="214613.04166666666"/>
  </r>
  <r>
    <d v="2020-05-10T00:00:00"/>
    <x v="3"/>
    <n v="37489.5"/>
    <n v="3549097.5"/>
    <n v="21"/>
    <n v="2120"/>
    <n v="1921"/>
    <m/>
    <s v="Воскресенье"/>
    <x v="4"/>
    <n v="7.1520366518346937E-4"/>
    <n v="169004.64285714287"/>
  </r>
  <r>
    <d v="2020-05-26T00:00:00"/>
    <x v="1"/>
    <n v="67726.5"/>
    <n v="5864989.5"/>
    <n v="36"/>
    <n v="4770"/>
    <n v="4424"/>
    <m/>
    <s v="Вторник"/>
    <x v="0"/>
    <n v="1.1818953935930369E-3"/>
    <n v="162916.375"/>
  </r>
  <r>
    <d v="2020-05-10T00:00:00"/>
    <x v="5"/>
    <n v="31224"/>
    <n v="2767270.5"/>
    <n v="19"/>
    <n v="1836"/>
    <n v="1680"/>
    <m/>
    <s v="Воскресенье"/>
    <x v="4"/>
    <n v="5.5765219303050765E-4"/>
    <n v="145645.81578947368"/>
  </r>
  <r>
    <d v="2020-05-12T00:00:00"/>
    <x v="1"/>
    <n v="64390.5"/>
    <n v="5523145.5"/>
    <n v="36"/>
    <n v="4418"/>
    <n v="4088"/>
    <m/>
    <s v="Вторник"/>
    <x v="2"/>
    <n v="1.113007998495839E-3"/>
    <n v="153420.70833333334"/>
  </r>
  <r>
    <d v="2020-05-10T00:00:00"/>
    <x v="6"/>
    <n v="231559.5"/>
    <n v="23443725"/>
    <n v="54"/>
    <n v="13832"/>
    <n v="12864"/>
    <m/>
    <s v="Воскресенье"/>
    <x v="4"/>
    <n v="4.7243103480682997E-3"/>
    <n v="434143.05555555556"/>
  </r>
  <r>
    <d v="2020-05-21T00:00:00"/>
    <x v="1"/>
    <n v="73126.5"/>
    <n v="5864085"/>
    <n v="36"/>
    <n v="4816"/>
    <n v="4452"/>
    <m/>
    <s v="Четверг"/>
    <x v="3"/>
    <n v="1.1817131214195736E-3"/>
    <n v="162891.25"/>
  </r>
  <r>
    <d v="2020-05-10T00:00:00"/>
    <x v="7"/>
    <n v="243825"/>
    <n v="24890404.5"/>
    <n v="59"/>
    <n v="14569"/>
    <n v="13566"/>
    <m/>
    <s v="Воскресенье"/>
    <x v="4"/>
    <n v="5.0158409359841822E-3"/>
    <n v="421871.26271186443"/>
  </r>
  <r>
    <d v="2020-05-20T00:00:00"/>
    <x v="1"/>
    <n v="99631.5"/>
    <n v="7121946"/>
    <n v="36"/>
    <n v="5914"/>
    <n v="5384"/>
    <m/>
    <s v="Среда"/>
    <x v="3"/>
    <n v="1.4351935618671363E-3"/>
    <n v="197831.83333333334"/>
  </r>
  <r>
    <d v="2020-05-10T00:00:00"/>
    <x v="9"/>
    <n v="14566.5"/>
    <n v="1216557"/>
    <n v="15"/>
    <n v="792"/>
    <n v="695"/>
    <m/>
    <s v="Воскресенье"/>
    <x v="4"/>
    <n v="2.4515698013497964E-4"/>
    <n v="81103.8"/>
  </r>
  <r>
    <d v="2020-05-10T00:00:00"/>
    <x v="10"/>
    <n v="16435.5"/>
    <n v="1471537.5"/>
    <n v="15"/>
    <n v="950"/>
    <n v="848"/>
    <m/>
    <s v="Воскресенье"/>
    <x v="4"/>
    <n v="2.965398987925577E-4"/>
    <n v="98102.5"/>
  </r>
  <r>
    <d v="2020-05-13T00:00:00"/>
    <x v="1"/>
    <n v="73062"/>
    <n v="6333828"/>
    <n v="36"/>
    <n v="4967"/>
    <n v="4583"/>
    <m/>
    <s v="Среда"/>
    <x v="2"/>
    <n v="1.2763743459405339E-3"/>
    <n v="175939.66666666666"/>
  </r>
  <r>
    <d v="2020-05-10T00:00:00"/>
    <x v="14"/>
    <n v="13440"/>
    <n v="1198285.5"/>
    <n v="15"/>
    <n v="706"/>
    <n v="608"/>
    <m/>
    <s v="Воскресенье"/>
    <x v="4"/>
    <n v="2.4147496132078823E-4"/>
    <n v="79885.7"/>
  </r>
  <r>
    <d v="2020-05-31T00:00:00"/>
    <x v="11"/>
    <n v="379663.5"/>
    <n v="39380178"/>
    <n v="124"/>
    <n v="21392"/>
    <n v="19869"/>
    <m/>
    <s v="Воскресенье"/>
    <x v="0"/>
    <n v="7.9357773747205946E-3"/>
    <n v="317582.08064516127"/>
  </r>
  <r>
    <d v="2020-05-30T00:00:00"/>
    <x v="11"/>
    <n v="453123"/>
    <n v="46370904"/>
    <n v="124"/>
    <n v="24325"/>
    <n v="22469"/>
    <m/>
    <s v="Суббота"/>
    <x v="0"/>
    <n v="9.3445278690345371E-3"/>
    <n v="373958.90322580643"/>
  </r>
  <r>
    <d v="2020-05-11T00:00:00"/>
    <x v="1"/>
    <n v="59574"/>
    <n v="5178169.5"/>
    <n v="36"/>
    <n v="4150"/>
    <n v="3838"/>
    <m/>
    <s v="Понедельник"/>
    <x v="2"/>
    <n v="1.0434894519920214E-3"/>
    <n v="143838.04166666666"/>
  </r>
  <r>
    <d v="2020-05-23T00:00:00"/>
    <x v="1"/>
    <n v="89556"/>
    <n v="7173117"/>
    <n v="36"/>
    <n v="5651"/>
    <n v="5212"/>
    <m/>
    <s v="Суббота"/>
    <x v="3"/>
    <n v="1.4455053909310331E-3"/>
    <n v="199253.25"/>
  </r>
  <r>
    <d v="2020-05-11T00:00:00"/>
    <x v="2"/>
    <n v="72220.5"/>
    <n v="6398719.5"/>
    <n v="31"/>
    <n v="4826"/>
    <n v="4483"/>
    <m/>
    <s v="Понедельник"/>
    <x v="2"/>
    <n v="1.2894510897153253E-3"/>
    <n v="206410.30645161291"/>
  </r>
  <r>
    <d v="2020-05-28T00:00:00"/>
    <x v="11"/>
    <n v="364638"/>
    <n v="37947688.5"/>
    <n v="124"/>
    <n v="20868"/>
    <n v="19342"/>
    <m/>
    <s v="Четверг"/>
    <x v="0"/>
    <n v="7.6471063137714852E-3"/>
    <n v="306029.74596774194"/>
  </r>
  <r>
    <d v="2020-05-11T00:00:00"/>
    <x v="3"/>
    <n v="32733"/>
    <n v="3079630.5"/>
    <n v="21"/>
    <n v="1916"/>
    <n v="1733"/>
    <m/>
    <s v="Понедельник"/>
    <x v="2"/>
    <n v="6.2059805936883969E-4"/>
    <n v="146649.07142857142"/>
  </r>
  <r>
    <d v="2020-05-25T00:00:00"/>
    <x v="1"/>
    <n v="66316.5"/>
    <n v="5704650"/>
    <n v="36"/>
    <n v="4641"/>
    <n v="4274"/>
    <m/>
    <s v="Понедельник"/>
    <x v="0"/>
    <n v="1.1495842502464017E-3"/>
    <n v="158462.5"/>
  </r>
  <r>
    <d v="2020-05-11T00:00:00"/>
    <x v="4"/>
    <n v="27187.5"/>
    <n v="2479396.5"/>
    <n v="21"/>
    <n v="1597"/>
    <n v="1457"/>
    <m/>
    <s v="Понедельник"/>
    <x v="2"/>
    <n v="4.9964067322553574E-4"/>
    <n v="118066.5"/>
  </r>
  <r>
    <d v="2020-05-11T00:00:00"/>
    <x v="5"/>
    <n v="23629.5"/>
    <n v="2164365"/>
    <n v="19"/>
    <n v="1527"/>
    <n v="1389"/>
    <m/>
    <s v="Понедельник"/>
    <x v="2"/>
    <n v="4.3615645408299429E-4"/>
    <n v="113913.94736842105"/>
  </r>
  <r>
    <d v="2020-05-11T00:00:00"/>
    <x v="6"/>
    <n v="166948.5"/>
    <n v="16971231"/>
    <n v="54"/>
    <n v="10570"/>
    <n v="9926"/>
    <m/>
    <s v="Понедельник"/>
    <x v="2"/>
    <n v="3.4199924386059603E-3"/>
    <n v="314282.05555555556"/>
  </r>
  <r>
    <d v="2020-05-11T00:00:00"/>
    <x v="7"/>
    <n v="175293"/>
    <n v="17919144"/>
    <n v="60"/>
    <n v="11100"/>
    <n v="10407"/>
    <m/>
    <s v="Понедельник"/>
    <x v="2"/>
    <n v="3.6110130718444264E-3"/>
    <n v="298652.40000000002"/>
  </r>
  <r>
    <d v="2020-05-11T00:00:00"/>
    <x v="8"/>
    <n v="42397.5"/>
    <n v="3911979"/>
    <n v="19"/>
    <n v="2530"/>
    <n v="2270"/>
    <m/>
    <s v="Понедельник"/>
    <x v="2"/>
    <n v="7.8833047526047492E-4"/>
    <n v="205893.63157894736"/>
  </r>
  <r>
    <d v="2020-05-24T00:00:00"/>
    <x v="1"/>
    <n v="74649"/>
    <n v="6098236.5"/>
    <n v="36"/>
    <n v="4915"/>
    <n v="4562"/>
    <m/>
    <s v="Воскресенье"/>
    <x v="3"/>
    <n v="1.2288986414026699E-3"/>
    <n v="169395.45833333334"/>
  </r>
  <r>
    <d v="2020-05-11T00:00:00"/>
    <x v="9"/>
    <n v="10941"/>
    <n v="880356"/>
    <n v="15"/>
    <n v="654"/>
    <n v="564"/>
    <m/>
    <s v="Понедельник"/>
    <x v="2"/>
    <n v="1.77406745761777E-4"/>
    <n v="58690.400000000001"/>
  </r>
  <r>
    <d v="2020-05-16T00:00:00"/>
    <x v="3"/>
    <n v="44560.5"/>
    <n v="4025148"/>
    <n v="21"/>
    <n v="2427"/>
    <n v="2213"/>
    <m/>
    <s v="Суббота"/>
    <x v="2"/>
    <n v="8.1113595850942715E-4"/>
    <n v="191673.71428571429"/>
  </r>
  <r>
    <d v="2020-05-11T00:00:00"/>
    <x v="10"/>
    <n v="12238.5"/>
    <n v="1096002"/>
    <n v="15"/>
    <n v="812"/>
    <n v="714"/>
    <m/>
    <s v="Понедельник"/>
    <x v="2"/>
    <n v="2.2086309194053216E-4"/>
    <n v="73066.8"/>
  </r>
  <r>
    <d v="2020-05-19T00:00:00"/>
    <x v="3"/>
    <n v="38250"/>
    <n v="3552937.5"/>
    <n v="21"/>
    <n v="2245"/>
    <n v="2053"/>
    <m/>
    <s v="Вторник"/>
    <x v="3"/>
    <n v="7.1597749066284956E-4"/>
    <n v="169187.5"/>
  </r>
  <r>
    <d v="2020-05-11T00:00:00"/>
    <x v="14"/>
    <n v="12654"/>
    <n v="1081158"/>
    <n v="15"/>
    <n v="684"/>
    <n v="585"/>
    <m/>
    <s v="Понедельник"/>
    <x v="2"/>
    <n v="2.1787177282180312E-4"/>
    <n v="72077.2"/>
  </r>
  <r>
    <d v="2020-05-17T00:00:00"/>
    <x v="3"/>
    <n v="34830"/>
    <n v="3191155.5"/>
    <n v="21"/>
    <n v="2054"/>
    <n v="1883"/>
    <m/>
    <s v="Воскресенье"/>
    <x v="2"/>
    <n v="6.4307224858443218E-4"/>
    <n v="151959.78571428571"/>
  </r>
  <r>
    <d v="2020-05-11T00:00:00"/>
    <x v="11"/>
    <n v="318565.5"/>
    <n v="33781581"/>
    <n v="125"/>
    <n v="18066"/>
    <n v="16883"/>
    <m/>
    <s v="Понедельник"/>
    <x v="2"/>
    <n v="6.8075646123816691E-3"/>
    <n v="270252.64799999999"/>
  </r>
  <r>
    <d v="2020-05-11T00:00:00"/>
    <x v="12"/>
    <n v="237099"/>
    <n v="24628233.223949999"/>
    <n v="129"/>
    <n v="14043"/>
    <n v="13167"/>
    <m/>
    <s v="Понедельник"/>
    <x v="2"/>
    <n v="4.9630089533359767E-3"/>
    <n v="190916.53661976743"/>
  </r>
  <r>
    <d v="2020-05-11T00:00:00"/>
    <x v="13"/>
    <n v="9007.5"/>
    <n v="734335.5"/>
    <n v="10"/>
    <n v="494"/>
    <n v="421"/>
    <m/>
    <s v="Понедельник"/>
    <x v="2"/>
    <n v="1.4798112508161175E-4"/>
    <n v="73433.55"/>
  </r>
  <r>
    <d v="2020-05-26T00:00:00"/>
    <x v="3"/>
    <n v="40744.5"/>
    <n v="3700311"/>
    <n v="21"/>
    <n v="2418"/>
    <n v="2215"/>
    <m/>
    <s v="Вторник"/>
    <x v="0"/>
    <n v="7.4567576391426518E-4"/>
    <n v="176205.28571428571"/>
  </r>
  <r>
    <d v="2020-05-12T00:00:00"/>
    <x v="3"/>
    <n v="32419.5"/>
    <n v="3080614.5"/>
    <n v="21"/>
    <n v="1926"/>
    <n v="1745"/>
    <m/>
    <s v="Вторник"/>
    <x v="2"/>
    <n v="6.2079635214793089E-4"/>
    <n v="146695.92857142858"/>
  </r>
  <r>
    <d v="2020-05-12T00:00:00"/>
    <x v="5"/>
    <n v="25483.5"/>
    <n v="2243160"/>
    <n v="19"/>
    <n v="1598"/>
    <n v="1454"/>
    <m/>
    <s v="Вторник"/>
    <x v="2"/>
    <n v="4.5203499018918225E-4"/>
    <n v="118061.05263157895"/>
  </r>
  <r>
    <d v="2020-05-21T00:00:00"/>
    <x v="3"/>
    <n v="40819.5"/>
    <n v="3810394.5"/>
    <n v="21"/>
    <n v="2335"/>
    <n v="2126"/>
    <m/>
    <s v="Четверг"/>
    <x v="3"/>
    <n v="7.6785946629951232E-4"/>
    <n v="181447.35714285713"/>
  </r>
  <r>
    <d v="2020-05-12T00:00:00"/>
    <x v="6"/>
    <n v="189679.5"/>
    <n v="18718036.5"/>
    <n v="54"/>
    <n v="11614"/>
    <n v="10862"/>
    <m/>
    <s v="Вторник"/>
    <x v="2"/>
    <n v="3.7720035332469621E-3"/>
    <n v="346630.30555555556"/>
  </r>
  <r>
    <d v="2020-05-20T00:00:00"/>
    <x v="3"/>
    <n v="41391"/>
    <n v="3918987"/>
    <n v="21"/>
    <n v="2410"/>
    <n v="2202"/>
    <m/>
    <s v="Среда"/>
    <x v="3"/>
    <n v="7.8974270676034379E-4"/>
    <n v="186618.42857142858"/>
  </r>
  <r>
    <d v="2020-05-12T00:00:00"/>
    <x v="7"/>
    <n v="192886.5"/>
    <n v="19205179.5"/>
    <n v="60"/>
    <n v="12000"/>
    <n v="11194"/>
    <m/>
    <s v="Вторник"/>
    <x v="2"/>
    <n v="3.8701711544713636E-3"/>
    <n v="320086.32500000001"/>
  </r>
  <r>
    <d v="2020-05-12T00:00:00"/>
    <x v="9"/>
    <n v="13443"/>
    <n v="1092277.5"/>
    <n v="15"/>
    <n v="750"/>
    <n v="659"/>
    <m/>
    <s v="Вторник"/>
    <x v="2"/>
    <n v="2.2011254168064897E-4"/>
    <n v="72818.5"/>
  </r>
  <r>
    <d v="2020-05-13T00:00:00"/>
    <x v="3"/>
    <n v="35535"/>
    <n v="3288069"/>
    <n v="21"/>
    <n v="2061"/>
    <n v="1876"/>
    <m/>
    <s v="Среда"/>
    <x v="2"/>
    <n v="6.6260197139586757E-4"/>
    <n v="156574.71428571429"/>
  </r>
  <r>
    <d v="2020-05-12T00:00:00"/>
    <x v="10"/>
    <n v="12802.5"/>
    <n v="1123830"/>
    <n v="15"/>
    <n v="845"/>
    <n v="743"/>
    <m/>
    <s v="Вторник"/>
    <x v="2"/>
    <n v="2.2647090846141546E-4"/>
    <n v="74922"/>
  </r>
  <r>
    <d v="2020-05-31T00:00:00"/>
    <x v="1"/>
    <n v="76234.5"/>
    <n v="6500848.5"/>
    <n v="37"/>
    <n v="5215"/>
    <n v="4848"/>
    <m/>
    <s v="Воскресенье"/>
    <x v="0"/>
    <n v="1.3100318247110593E-3"/>
    <n v="175698.60810810811"/>
  </r>
  <r>
    <d v="2020-05-12T00:00:00"/>
    <x v="14"/>
    <n v="11296.5"/>
    <n v="989632.5"/>
    <n v="15"/>
    <n v="624"/>
    <n v="538"/>
    <m/>
    <s v="Вторник"/>
    <x v="2"/>
    <n v="1.994278238861231E-4"/>
    <n v="65975.5"/>
  </r>
  <r>
    <d v="2020-05-30T00:00:00"/>
    <x v="1"/>
    <n v="106926"/>
    <n v="9098386.5"/>
    <n v="37"/>
    <n v="6645"/>
    <n v="6122"/>
    <m/>
    <s v="Суббота"/>
    <x v="0"/>
    <n v="1.8334800247262291E-3"/>
    <n v="245902.33783783784"/>
  </r>
  <r>
    <d v="2020-05-23T00:00:00"/>
    <x v="3"/>
    <n v="42999"/>
    <n v="3883215"/>
    <n v="21"/>
    <n v="2460"/>
    <n v="2226"/>
    <m/>
    <s v="Суббота"/>
    <x v="3"/>
    <n v="7.825340387789927E-4"/>
    <n v="184915"/>
  </r>
  <r>
    <d v="2020-05-28T00:00:00"/>
    <x v="1"/>
    <n v="69945"/>
    <n v="6101931"/>
    <n v="37"/>
    <n v="4840"/>
    <n v="4475"/>
    <m/>
    <s v="Четверг"/>
    <x v="0"/>
    <n v="1.2296431461509955E-3"/>
    <n v="164917.05405405405"/>
  </r>
  <r>
    <d v="2020-05-25T00:00:00"/>
    <x v="3"/>
    <n v="38740.5"/>
    <n v="3561655.5"/>
    <n v="21"/>
    <n v="2330"/>
    <n v="2142"/>
    <m/>
    <s v="Понедельник"/>
    <x v="0"/>
    <n v="7.1773431632150494E-4"/>
    <n v="169602.64285714287"/>
  </r>
  <r>
    <d v="2020-05-13T00:00:00"/>
    <x v="5"/>
    <n v="25539"/>
    <n v="2263651.5"/>
    <n v="19"/>
    <n v="1605"/>
    <n v="1447"/>
    <m/>
    <s v="Среда"/>
    <x v="2"/>
    <n v="4.5616437685864033E-4"/>
    <n v="119139.55263157895"/>
  </r>
  <r>
    <d v="2020-05-13T00:00:00"/>
    <x v="6"/>
    <n v="188662.5"/>
    <n v="18784000.5"/>
    <n v="54"/>
    <n v="11522"/>
    <n v="10803"/>
    <m/>
    <s v="Среда"/>
    <x v="2"/>
    <n v="3.7852964040599396E-3"/>
    <n v="347851.86111111112"/>
  </r>
  <r>
    <d v="2020-05-13T00:00:00"/>
    <x v="7"/>
    <n v="193722"/>
    <n v="19437273"/>
    <n v="60"/>
    <n v="12007"/>
    <n v="11245"/>
    <m/>
    <s v="Среда"/>
    <x v="2"/>
    <n v="3.9169419523616047E-3"/>
    <n v="323954.55"/>
  </r>
  <r>
    <d v="2020-05-24T00:00:00"/>
    <x v="3"/>
    <n v="38194.5"/>
    <n v="3449302.5"/>
    <n v="21"/>
    <n v="2254"/>
    <n v="2061"/>
    <m/>
    <s v="Воскресенье"/>
    <x v="3"/>
    <n v="6.9509327098692098E-4"/>
    <n v="164252.5"/>
  </r>
  <r>
    <d v="2020-05-31T00:00:00"/>
    <x v="3"/>
    <n v="42423"/>
    <n v="3994153.5"/>
    <n v="23"/>
    <n v="2522"/>
    <n v="2295"/>
    <m/>
    <s v="Воскресенье"/>
    <x v="0"/>
    <n v="8.0489003824363303E-4"/>
    <n v="173658.84782608695"/>
  </r>
  <r>
    <d v="2020-05-13T00:00:00"/>
    <x v="9"/>
    <n v="14643"/>
    <n v="1172691"/>
    <n v="15"/>
    <n v="854"/>
    <n v="756"/>
    <m/>
    <s v="Среда"/>
    <x v="2"/>
    <n v="2.3631723313537257E-4"/>
    <n v="78179.399999999994"/>
  </r>
  <r>
    <d v="2020-05-30T00:00:00"/>
    <x v="3"/>
    <n v="48286.5"/>
    <n v="4456441.5"/>
    <n v="22"/>
    <n v="2793"/>
    <n v="2539"/>
    <m/>
    <s v="Суббота"/>
    <x v="0"/>
    <n v="8.9804895314251525E-4"/>
    <n v="202565.52272727274"/>
  </r>
  <r>
    <d v="2020-05-13T00:00:00"/>
    <x v="10"/>
    <n v="14305.5"/>
    <n v="1243507.5"/>
    <n v="15"/>
    <n v="898"/>
    <n v="795"/>
    <m/>
    <s v="Среда"/>
    <x v="2"/>
    <n v="2.5058796544280147E-4"/>
    <n v="82900.5"/>
  </r>
  <r>
    <d v="2020-05-28T00:00:00"/>
    <x v="3"/>
    <n v="41442"/>
    <n v="3893680.5"/>
    <n v="22"/>
    <n v="2454"/>
    <n v="2239"/>
    <m/>
    <s v="Четверг"/>
    <x v="0"/>
    <n v="7.8464301548588158E-4"/>
    <n v="176985.47727272726"/>
  </r>
  <r>
    <d v="2020-05-13T00:00:00"/>
    <x v="14"/>
    <n v="10401"/>
    <n v="949912.5"/>
    <n v="15"/>
    <n v="599"/>
    <n v="515"/>
    <m/>
    <s v="Среда"/>
    <x v="2"/>
    <n v="1.9142356658378428E-4"/>
    <n v="63327.5"/>
  </r>
  <r>
    <d v="2020-05-16T00:00:00"/>
    <x v="10"/>
    <n v="18600"/>
    <n v="1601425.5"/>
    <n v="15"/>
    <n v="1111"/>
    <n v="992"/>
    <m/>
    <s v="Суббота"/>
    <x v="2"/>
    <n v="3.2271454563259253E-4"/>
    <n v="106761.7"/>
  </r>
  <r>
    <d v="2020-05-19T00:00:00"/>
    <x v="10"/>
    <n v="16638"/>
    <n v="1364847"/>
    <n v="16"/>
    <n v="1012"/>
    <n v="900"/>
    <m/>
    <s v="Вторник"/>
    <x v="3"/>
    <n v="2.7503994376448175E-4"/>
    <n v="85302.9375"/>
  </r>
  <r>
    <d v="2020-05-17T00:00:00"/>
    <x v="10"/>
    <n v="15609"/>
    <n v="1377577.5"/>
    <n v="15"/>
    <n v="971"/>
    <n v="856"/>
    <m/>
    <s v="Воскресенье"/>
    <x v="2"/>
    <n v="2.7760535659397375E-4"/>
    <n v="91838.5"/>
  </r>
  <r>
    <d v="2020-05-14T00:00:00"/>
    <x v="1"/>
    <n v="63645"/>
    <n v="5366602.5"/>
    <n v="36"/>
    <n v="4285"/>
    <n v="3950"/>
    <m/>
    <s v="Четверг"/>
    <x v="2"/>
    <n v="1.0814619146368252E-3"/>
    <n v="149072.29166666666"/>
  </r>
  <r>
    <d v="2020-05-14T00:00:00"/>
    <x v="2"/>
    <n v="70498.5"/>
    <n v="6053649"/>
    <n v="31"/>
    <n v="4695"/>
    <n v="4372"/>
    <m/>
    <s v="Четверг"/>
    <x v="2"/>
    <n v="1.2199134998501012E-3"/>
    <n v="195279"/>
  </r>
  <r>
    <d v="2020-05-14T00:00:00"/>
    <x v="3"/>
    <n v="33886.5"/>
    <n v="3166479"/>
    <n v="21"/>
    <n v="1993"/>
    <n v="1796"/>
    <m/>
    <s v="Четверг"/>
    <x v="2"/>
    <n v="6.380995130526809E-4"/>
    <n v="150784.71428571429"/>
  </r>
  <r>
    <d v="2020-05-14T00:00:00"/>
    <x v="4"/>
    <n v="29658"/>
    <n v="2703132"/>
    <n v="21"/>
    <n v="1706"/>
    <n v="1548"/>
    <m/>
    <s v="Четверг"/>
    <x v="2"/>
    <n v="5.4472719159581327E-4"/>
    <n v="128720.57142857143"/>
  </r>
  <r>
    <d v="2020-05-26T00:00:00"/>
    <x v="10"/>
    <n v="17391"/>
    <n v="1489132.5"/>
    <n v="17"/>
    <n v="1140"/>
    <n v="1016"/>
    <m/>
    <s v="Вторник"/>
    <x v="0"/>
    <n v="3.0008559132112397E-4"/>
    <n v="87596.029411764699"/>
  </r>
  <r>
    <d v="2020-05-14T00:00:00"/>
    <x v="5"/>
    <n v="25656"/>
    <n v="2225341.5"/>
    <n v="19"/>
    <n v="1635"/>
    <n v="1487"/>
    <m/>
    <s v="Четверг"/>
    <x v="2"/>
    <n v="4.4844425859951142E-4"/>
    <n v="117123.23684210527"/>
  </r>
  <r>
    <d v="2020-05-14T00:00:00"/>
    <x v="6"/>
    <n v="186496.5"/>
    <n v="18640998"/>
    <n v="54"/>
    <n v="11194"/>
    <n v="10554"/>
    <m/>
    <s v="Четверг"/>
    <x v="2"/>
    <n v="3.7564789618424748E-3"/>
    <n v="345203.66666666669"/>
  </r>
  <r>
    <d v="2020-05-14T00:00:00"/>
    <x v="7"/>
    <n v="197946"/>
    <n v="19942435.5"/>
    <n v="60"/>
    <n v="11935"/>
    <n v="11178"/>
    <m/>
    <s v="Четверг"/>
    <x v="2"/>
    <n v="4.0187408101031137E-3"/>
    <n v="332373.92499999999"/>
  </r>
  <r>
    <d v="2020-05-21T00:00:00"/>
    <x v="10"/>
    <n v="16554"/>
    <n v="1380751.5"/>
    <n v="17"/>
    <n v="1045"/>
    <n v="930"/>
    <m/>
    <s v="Четверг"/>
    <x v="3"/>
    <n v="2.7824497171677397E-4"/>
    <n v="81220.676470588238"/>
  </r>
  <r>
    <d v="2020-05-14T00:00:00"/>
    <x v="8"/>
    <n v="27411"/>
    <n v="2441520"/>
    <n v="19"/>
    <n v="1675"/>
    <n v="1475"/>
    <m/>
    <s v="Четверг"/>
    <x v="2"/>
    <n v="4.9200791260841498E-4"/>
    <n v="128501.05263157895"/>
  </r>
  <r>
    <d v="2020-05-20T00:00:00"/>
    <x v="10"/>
    <n v="17329.5"/>
    <n v="1430254.5"/>
    <n v="16"/>
    <n v="1050"/>
    <n v="938"/>
    <m/>
    <s v="Среда"/>
    <x v="3"/>
    <n v="2.8822067033806495E-4"/>
    <n v="89390.90625"/>
  </r>
  <r>
    <d v="2020-05-14T00:00:00"/>
    <x v="9"/>
    <n v="13810.5"/>
    <n v="1131676.5"/>
    <n v="16"/>
    <n v="834"/>
    <n v="735"/>
    <m/>
    <s v="Четверг"/>
    <x v="2"/>
    <n v="2.2805211200932084E-4"/>
    <n v="70729.78125"/>
  </r>
  <r>
    <d v="2020-05-14T00:00:00"/>
    <x v="10"/>
    <n v="14385"/>
    <n v="1223491.5"/>
    <n v="15"/>
    <n v="890"/>
    <n v="777"/>
    <m/>
    <s v="Четверг"/>
    <x v="2"/>
    <n v="2.4655440013153225E-4"/>
    <n v="81566.100000000006"/>
  </r>
  <r>
    <d v="2020-05-14T00:00:00"/>
    <x v="14"/>
    <n v="11161.5"/>
    <n v="963502.5"/>
    <n v="15"/>
    <n v="638"/>
    <n v="548"/>
    <m/>
    <s v="Четверг"/>
    <x v="2"/>
    <n v="1.9416218331940323E-4"/>
    <n v="64233.5"/>
  </r>
  <r>
    <d v="2020-05-14T00:00:00"/>
    <x v="11"/>
    <n v="358387.5"/>
    <n v="37963150.5"/>
    <n v="125"/>
    <n v="20247"/>
    <n v="18812"/>
    <m/>
    <s v="Четверг"/>
    <x v="2"/>
    <n v="7.6502221704283016E-3"/>
    <n v="303705.20400000003"/>
  </r>
  <r>
    <d v="2020-05-14T00:00:00"/>
    <x v="12"/>
    <n v="274059"/>
    <n v="28181292"/>
    <n v="129"/>
    <n v="15804"/>
    <n v="14738"/>
    <m/>
    <s v="Четверг"/>
    <x v="2"/>
    <n v="5.679010883190891E-3"/>
    <n v="218459.62790697673"/>
  </r>
  <r>
    <d v="2020-05-14T00:00:00"/>
    <x v="13"/>
    <n v="12037.5"/>
    <n v="981564"/>
    <n v="10"/>
    <n v="627"/>
    <n v="545"/>
    <m/>
    <s v="Четверг"/>
    <x v="2"/>
    <n v="1.9780188355269105E-4"/>
    <n v="98156.4"/>
  </r>
  <r>
    <d v="2020-05-23T00:00:00"/>
    <x v="10"/>
    <n v="21958.5"/>
    <n v="1854001.5"/>
    <n v="17"/>
    <n v="1294"/>
    <n v="1155"/>
    <m/>
    <s v="Суббота"/>
    <x v="3"/>
    <n v="3.7361291653882433E-4"/>
    <n v="109058.91176470589"/>
  </r>
  <r>
    <d v="2020-05-15T00:00:00"/>
    <x v="1"/>
    <n v="75642"/>
    <n v="6293952"/>
    <n v="36"/>
    <n v="4862"/>
    <n v="4476"/>
    <m/>
    <s v="Пятница"/>
    <x v="2"/>
    <n v="1.2683386519780951E-3"/>
    <n v="174832"/>
  </r>
  <r>
    <d v="2020-05-25T00:00:00"/>
    <x v="10"/>
    <n v="17211"/>
    <n v="1507867.5"/>
    <n v="17"/>
    <n v="1142"/>
    <n v="1020"/>
    <m/>
    <s v="Понедельник"/>
    <x v="0"/>
    <n v="3.0386101328888122E-4"/>
    <n v="88698.088235294112"/>
  </r>
  <r>
    <d v="2020-05-15T00:00:00"/>
    <x v="2"/>
    <n v="78961.5"/>
    <n v="6876454.5"/>
    <n v="31"/>
    <n v="5184"/>
    <n v="4778"/>
    <m/>
    <s v="Пятница"/>
    <x v="2"/>
    <n v="1.3857228385152456E-3"/>
    <n v="221821.11290322582"/>
  </r>
  <r>
    <d v="2020-05-15T00:00:00"/>
    <x v="3"/>
    <n v="41697"/>
    <n v="3772258.5"/>
    <n v="21"/>
    <n v="2255"/>
    <n v="2045"/>
    <m/>
    <s v="Пятница"/>
    <x v="2"/>
    <n v="7.6017441200741784E-4"/>
    <n v="179631.35714285713"/>
  </r>
  <r>
    <d v="2020-05-15T00:00:00"/>
    <x v="4"/>
    <n v="34150.5"/>
    <n v="3038293.5"/>
    <n v="21"/>
    <n v="1926"/>
    <n v="1742"/>
    <m/>
    <s v="Пятница"/>
    <x v="2"/>
    <n v="6.1226794899354314E-4"/>
    <n v="144680.64285714287"/>
  </r>
  <r>
    <d v="2020-05-15T00:00:00"/>
    <x v="5"/>
    <n v="29283"/>
    <n v="2477487"/>
    <n v="19"/>
    <n v="1780"/>
    <n v="1615"/>
    <m/>
    <s v="Пятница"/>
    <x v="2"/>
    <n v="4.9925587641489085E-4"/>
    <n v="130394.05263157895"/>
  </r>
  <r>
    <d v="2020-05-15T00:00:00"/>
    <x v="6"/>
    <n v="219772.5"/>
    <n v="21895294.5"/>
    <n v="54"/>
    <n v="12791"/>
    <n v="11950"/>
    <m/>
    <s v="Пятница"/>
    <x v="2"/>
    <n v="4.4122751986023093E-3"/>
    <n v="405468.41666666669"/>
  </r>
  <r>
    <d v="2020-05-24T00:00:00"/>
    <x v="10"/>
    <n v="18075"/>
    <n v="1548099"/>
    <n v="17"/>
    <n v="1128"/>
    <n v="1001"/>
    <m/>
    <s v="Воскресенье"/>
    <x v="3"/>
    <n v="3.1196834656327805E-4"/>
    <n v="91064.647058823524"/>
  </r>
  <r>
    <d v="2020-05-15T00:00:00"/>
    <x v="7"/>
    <n v="230896.5"/>
    <n v="23085222"/>
    <n v="60"/>
    <n v="13544"/>
    <n v="12643"/>
    <m/>
    <s v="Пятница"/>
    <x v="2"/>
    <n v="4.6520658804031336E-3"/>
    <n v="384753.7"/>
  </r>
  <r>
    <d v="2020-05-16T00:00:00"/>
    <x v="14"/>
    <n v="13120.5"/>
    <n v="1215033"/>
    <n v="15"/>
    <n v="747"/>
    <n v="647"/>
    <m/>
    <s v="Суббота"/>
    <x v="2"/>
    <n v="2.4484986814785065E-4"/>
    <n v="81002.2"/>
  </r>
  <r>
    <d v="2020-05-15T00:00:00"/>
    <x v="8"/>
    <n v="32854.5"/>
    <n v="2949078"/>
    <n v="19"/>
    <n v="1940"/>
    <n v="1715"/>
    <m/>
    <s v="Пятница"/>
    <x v="2"/>
    <n v="5.9428950444780277E-4"/>
    <n v="155214.63157894736"/>
  </r>
  <r>
    <d v="2020-05-19T00:00:00"/>
    <x v="14"/>
    <n v="16237.5"/>
    <n v="1403047.5"/>
    <n v="15"/>
    <n v="930"/>
    <n v="827"/>
    <m/>
    <s v="Вторник"/>
    <x v="3"/>
    <n v="2.8273799590642517E-4"/>
    <n v="93536.5"/>
  </r>
  <r>
    <d v="2020-05-15T00:00:00"/>
    <x v="9"/>
    <n v="13752"/>
    <n v="1091040"/>
    <n v="16"/>
    <n v="817"/>
    <n v="718"/>
    <m/>
    <s v="Пятница"/>
    <x v="2"/>
    <n v="2.1986316432889556E-4"/>
    <n v="68190"/>
  </r>
  <r>
    <d v="2020-05-17T00:00:00"/>
    <x v="14"/>
    <n v="11967"/>
    <n v="1060489.5"/>
    <n v="15"/>
    <n v="692"/>
    <n v="591"/>
    <m/>
    <s v="Воскресенье"/>
    <x v="2"/>
    <n v="2.1370671763415485E-4"/>
    <n v="70699.3"/>
  </r>
  <r>
    <d v="2020-05-15T00:00:00"/>
    <x v="10"/>
    <n v="16498.5"/>
    <n v="1370482.5"/>
    <n v="15"/>
    <n v="980"/>
    <n v="867"/>
    <m/>
    <s v="Пятница"/>
    <x v="2"/>
    <n v="2.7617559311058775E-4"/>
    <n v="91365.5"/>
  </r>
  <r>
    <d v="2020-05-15T00:00:00"/>
    <x v="14"/>
    <n v="12229.5"/>
    <n v="1122730.5"/>
    <n v="15"/>
    <n v="688"/>
    <n v="598"/>
    <m/>
    <s v="Пятница"/>
    <x v="2"/>
    <n v="2.2624934046282729E-4"/>
    <n v="74848.7"/>
  </r>
  <r>
    <d v="2020-05-15T00:00:00"/>
    <x v="11"/>
    <n v="403261.5"/>
    <n v="42271377"/>
    <n v="125"/>
    <n v="21862"/>
    <n v="20235"/>
    <m/>
    <s v="Пятница"/>
    <x v="2"/>
    <n v="8.5184032737202087E-3"/>
    <n v="338171.016"/>
  </r>
  <r>
    <d v="2020-05-15T00:00:00"/>
    <x v="12"/>
    <n v="318816"/>
    <n v="32354331"/>
    <n v="129"/>
    <n v="17808"/>
    <n v="16486"/>
    <m/>
    <s v="Пятница"/>
    <x v="2"/>
    <n v="6.519949400026104E-3"/>
    <n v="250808.76744186046"/>
  </r>
  <r>
    <d v="2020-05-15T00:00:00"/>
    <x v="13"/>
    <n v="14421"/>
    <n v="1150579.5"/>
    <n v="10"/>
    <n v="743"/>
    <n v="652"/>
    <m/>
    <s v="Пятница"/>
    <x v="2"/>
    <n v="2.3186138884180094E-4"/>
    <n v="115057.95"/>
  </r>
  <r>
    <d v="2020-05-26T00:00:00"/>
    <x v="14"/>
    <n v="12259.5"/>
    <n v="1152054"/>
    <n v="15"/>
    <n v="812"/>
    <n v="711"/>
    <m/>
    <s v="Вторник"/>
    <x v="0"/>
    <n v="2.3215852573485983E-4"/>
    <n v="76803.600000000006"/>
  </r>
  <r>
    <d v="2020-05-21T00:00:00"/>
    <x v="14"/>
    <n v="12135"/>
    <n v="1103623.5"/>
    <n v="15"/>
    <n v="749"/>
    <n v="652"/>
    <m/>
    <s v="Четверг"/>
    <x v="3"/>
    <n v="2.2239895415175509E-4"/>
    <n v="73574.899999999994"/>
  </r>
  <r>
    <d v="2020-05-20T00:00:00"/>
    <x v="14"/>
    <n v="12630"/>
    <n v="1104858"/>
    <n v="15"/>
    <n v="760"/>
    <n v="664"/>
    <m/>
    <s v="Среда"/>
    <x v="3"/>
    <n v="2.2264772695235272E-4"/>
    <n v="73657.2"/>
  </r>
  <r>
    <d v="2020-05-16T00:00:00"/>
    <x v="5"/>
    <n v="34563"/>
    <n v="2922883.5"/>
    <n v="19"/>
    <n v="2039"/>
    <n v="1868"/>
    <m/>
    <s v="Суббота"/>
    <x v="2"/>
    <n v="5.8901086603123387E-4"/>
    <n v="153835.97368421053"/>
  </r>
  <r>
    <d v="2020-05-16T00:00:00"/>
    <x v="6"/>
    <n v="225480"/>
    <n v="22355338.5"/>
    <n v="54"/>
    <n v="13170"/>
    <n v="12299"/>
    <m/>
    <s v="Суббота"/>
    <x v="2"/>
    <n v="4.5049819092366789E-3"/>
    <n v="413987.75"/>
  </r>
  <r>
    <d v="2020-05-16T00:00:00"/>
    <x v="7"/>
    <n v="236551.5"/>
    <n v="23689383"/>
    <n v="60"/>
    <n v="14049"/>
    <n v="13118"/>
    <m/>
    <s v="Суббота"/>
    <x v="2"/>
    <n v="4.773814624009335E-3"/>
    <n v="394823.05"/>
  </r>
  <r>
    <d v="2020-05-31T00:00:00"/>
    <x v="10"/>
    <n v="17689.5"/>
    <n v="1592119.5"/>
    <n v="17"/>
    <n v="1186"/>
    <n v="1054"/>
    <m/>
    <s v="Воскресенье"/>
    <x v="0"/>
    <n v="3.2083922794740711E-4"/>
    <n v="93654.088235294112"/>
  </r>
  <r>
    <d v="2020-05-16T00:00:00"/>
    <x v="9"/>
    <n v="16368"/>
    <n v="1316350.5"/>
    <n v="16"/>
    <n v="920"/>
    <n v="818"/>
    <m/>
    <s v="Суббота"/>
    <x v="2"/>
    <n v="2.6526707205595015E-4"/>
    <n v="82271.90625"/>
  </r>
  <r>
    <d v="2020-05-30T00:00:00"/>
    <x v="10"/>
    <n v="27250.5"/>
    <n v="2457252"/>
    <n v="17"/>
    <n v="1697"/>
    <n v="1499"/>
    <m/>
    <s v="Суббота"/>
    <x v="0"/>
    <n v="4.9517817886925077E-4"/>
    <n v="144544.23529411765"/>
  </r>
  <r>
    <d v="2020-05-23T00:00:00"/>
    <x v="14"/>
    <n v="14167.5"/>
    <n v="1315075.5"/>
    <n v="15"/>
    <n v="840"/>
    <n v="725"/>
    <m/>
    <s v="Суббота"/>
    <x v="3"/>
    <n v="2.6501013781474972E-4"/>
    <n v="87671.7"/>
  </r>
  <r>
    <d v="2020-05-28T00:00:00"/>
    <x v="10"/>
    <n v="16500"/>
    <n v="1487928"/>
    <n v="17"/>
    <n v="1097"/>
    <n v="968"/>
    <m/>
    <s v="Четверг"/>
    <x v="0"/>
    <n v="2.9984286403208398E-4"/>
    <n v="87525.176470588238"/>
  </r>
  <r>
    <d v="2020-05-25T00:00:00"/>
    <x v="14"/>
    <n v="13260"/>
    <n v="1230687"/>
    <n v="15"/>
    <n v="835"/>
    <n v="736"/>
    <m/>
    <s v="Понедельник"/>
    <x v="0"/>
    <n v="2.4800441607863646E-4"/>
    <n v="82045.8"/>
  </r>
  <r>
    <d v="2020-05-17T00:00:00"/>
    <x v="5"/>
    <n v="28275"/>
    <n v="2435632.5"/>
    <n v="19"/>
    <n v="1790"/>
    <n v="1633"/>
    <m/>
    <s v="Воскресенье"/>
    <x v="2"/>
    <n v="4.9082148096522469E-4"/>
    <n v="128191.18421052632"/>
  </r>
  <r>
    <d v="2020-05-24T00:00:00"/>
    <x v="14"/>
    <n v="12666"/>
    <n v="1184865"/>
    <n v="15"/>
    <n v="779"/>
    <n v="673"/>
    <m/>
    <s v="Воскресенье"/>
    <x v="3"/>
    <n v="2.3877050172547005E-4"/>
    <n v="78991"/>
  </r>
  <r>
    <d v="2020-05-17T00:00:00"/>
    <x v="6"/>
    <n v="184801.5"/>
    <n v="18449091"/>
    <n v="54"/>
    <n v="11128"/>
    <n v="10467"/>
    <m/>
    <s v="Воскресенье"/>
    <x v="2"/>
    <n v="3.717806428959294E-3"/>
    <n v="341649.83333333331"/>
  </r>
  <r>
    <d v="2020-05-17T00:00:00"/>
    <x v="7"/>
    <n v="193363.5"/>
    <n v="19546386"/>
    <n v="60"/>
    <n v="11698"/>
    <n v="10989"/>
    <m/>
    <s v="Воскресенье"/>
    <x v="2"/>
    <n v="3.938930082447961E-3"/>
    <n v="325773.09999999998"/>
  </r>
  <r>
    <d v="2020-05-19T00:00:00"/>
    <x v="5"/>
    <n v="28882.5"/>
    <n v="2446530"/>
    <n v="19"/>
    <n v="1831"/>
    <n v="1667"/>
    <m/>
    <s v="Вторник"/>
    <x v="3"/>
    <n v="4.9301751303854383E-4"/>
    <n v="128764.73684210527"/>
  </r>
  <r>
    <d v="2020-05-17T00:00:00"/>
    <x v="9"/>
    <n v="13440"/>
    <n v="1157529"/>
    <n v="16"/>
    <n v="859"/>
    <n v="746"/>
    <m/>
    <s v="Воскресенье"/>
    <x v="2"/>
    <n v="2.3326183159413236E-4"/>
    <n v="72345.5625"/>
  </r>
  <r>
    <d v="2020-05-26T00:00:00"/>
    <x v="5"/>
    <n v="27156"/>
    <n v="2410803"/>
    <n v="20"/>
    <n v="1814"/>
    <n v="1655"/>
    <m/>
    <s v="Вторник"/>
    <x v="0"/>
    <n v="4.8581791332452927E-4"/>
    <n v="120540.15"/>
  </r>
  <r>
    <d v="2020-05-18T00:00:00"/>
    <x v="1"/>
    <n v="70278"/>
    <n v="5798476.5"/>
    <n v="36"/>
    <n v="4885"/>
    <n v="4502"/>
    <m/>
    <s v="Понедельник"/>
    <x v="3"/>
    <n v="1.168491889918554E-3"/>
    <n v="161068.79166666666"/>
  </r>
  <r>
    <d v="2020-05-21T00:00:00"/>
    <x v="5"/>
    <n v="25362"/>
    <n v="2198935.5"/>
    <n v="19"/>
    <n v="1650"/>
    <n v="1505"/>
    <m/>
    <s v="Четверг"/>
    <x v="3"/>
    <n v="4.431229993264611E-4"/>
    <n v="115733.44736842105"/>
  </r>
  <r>
    <d v="2020-05-18T00:00:00"/>
    <x v="2"/>
    <n v="78058.5"/>
    <n v="6609714"/>
    <n v="31"/>
    <n v="5165"/>
    <n v="4813"/>
    <m/>
    <s v="Понедельник"/>
    <x v="3"/>
    <n v="1.3319700793270656E-3"/>
    <n v="213216.5806451613"/>
  </r>
  <r>
    <d v="2020-05-20T00:00:00"/>
    <x v="5"/>
    <n v="28849.5"/>
    <n v="2520759"/>
    <n v="19"/>
    <n v="1823"/>
    <n v="1678"/>
    <m/>
    <s v="Среда"/>
    <x v="3"/>
    <n v="5.0797592228565629E-4"/>
    <n v="132671.52631578947"/>
  </r>
  <r>
    <d v="2020-05-18T00:00:00"/>
    <x v="3"/>
    <n v="36655.5"/>
    <n v="3360135"/>
    <n v="21"/>
    <n v="2136"/>
    <n v="1947"/>
    <m/>
    <s v="Понедельник"/>
    <x v="3"/>
    <n v="6.7712449925967286E-4"/>
    <n v="160006.42857142858"/>
  </r>
  <r>
    <d v="2020-05-18T00:00:00"/>
    <x v="4"/>
    <n v="31329"/>
    <n v="2826379.5"/>
    <n v="21"/>
    <n v="1834"/>
    <n v="1660"/>
    <m/>
    <s v="Понедельник"/>
    <x v="3"/>
    <n v="5.6956366445256061E-4"/>
    <n v="134589.5"/>
  </r>
  <r>
    <d v="2020-05-18T00:00:00"/>
    <x v="5"/>
    <n v="27181.5"/>
    <n v="2324490"/>
    <n v="19"/>
    <n v="1741"/>
    <n v="1597"/>
    <m/>
    <s v="Понедельник"/>
    <x v="3"/>
    <n v="4.6842437202199231E-4"/>
    <n v="122341.57894736843"/>
  </r>
  <r>
    <d v="2020-05-31T00:00:00"/>
    <x v="14"/>
    <n v="14808"/>
    <n v="1336789.5"/>
    <n v="16"/>
    <n v="917"/>
    <n v="802"/>
    <m/>
    <s v="Воскресенье"/>
    <x v="0"/>
    <n v="2.6938587908018237E-4"/>
    <n v="83549.34375"/>
  </r>
  <r>
    <d v="2020-05-18T00:00:00"/>
    <x v="6"/>
    <n v="196560"/>
    <n v="19855122"/>
    <n v="54"/>
    <n v="12012"/>
    <n v="11308"/>
    <m/>
    <s v="Понедельник"/>
    <x v="3"/>
    <n v="4.0011456509901283E-3"/>
    <n v="367687.44444444444"/>
  </r>
  <r>
    <d v="2020-05-18T00:00:00"/>
    <x v="7"/>
    <n v="201999"/>
    <n v="20422435.5"/>
    <n v="60"/>
    <n v="12460"/>
    <n v="11665"/>
    <m/>
    <s v="Понедельник"/>
    <x v="3"/>
    <n v="4.1154689950256363E-3"/>
    <n v="340373.92499999999"/>
  </r>
  <r>
    <d v="2020-05-30T00:00:00"/>
    <x v="14"/>
    <n v="17946"/>
    <n v="1609090.5"/>
    <n v="16"/>
    <n v="1048"/>
    <n v="918"/>
    <m/>
    <s v="Суббота"/>
    <x v="0"/>
    <n v="3.2425917383557406E-4"/>
    <n v="100568.15625"/>
  </r>
  <r>
    <d v="2020-05-18T00:00:00"/>
    <x v="8"/>
    <n v="28668"/>
    <n v="2588148"/>
    <n v="19"/>
    <n v="1858"/>
    <n v="1648"/>
    <m/>
    <s v="Понедельник"/>
    <x v="3"/>
    <n v="5.2155595489762282E-4"/>
    <n v="136218.31578947368"/>
  </r>
  <r>
    <d v="2020-05-18T00:00:00"/>
    <x v="9"/>
    <n v="14497.5"/>
    <n v="1230711"/>
    <n v="16"/>
    <n v="864"/>
    <n v="765"/>
    <m/>
    <s v="Понедельник"/>
    <x v="3"/>
    <n v="2.4800925248788259E-4"/>
    <n v="76919.4375"/>
  </r>
  <r>
    <d v="2020-05-23T00:00:00"/>
    <x v="5"/>
    <n v="36997.5"/>
    <n v="3089140.5"/>
    <n v="19"/>
    <n v="2195"/>
    <n v="1999"/>
    <m/>
    <s v="Суббота"/>
    <x v="3"/>
    <n v="6.2251448653261716E-4"/>
    <n v="162586.34210526315"/>
  </r>
  <r>
    <d v="2020-05-18T00:00:00"/>
    <x v="10"/>
    <n v="14290.5"/>
    <n v="1246162.5"/>
    <n v="16"/>
    <n v="925"/>
    <n v="816"/>
    <m/>
    <s v="Понедельник"/>
    <x v="3"/>
    <n v="2.511229932156542E-4"/>
    <n v="77885.15625"/>
  </r>
  <r>
    <d v="2020-05-28T00:00:00"/>
    <x v="14"/>
    <n v="13864.5"/>
    <n v="1239747"/>
    <n v="16"/>
    <n v="876"/>
    <n v="762"/>
    <m/>
    <s v="Четверг"/>
    <x v="0"/>
    <n v="2.4983016056904909E-4"/>
    <n v="77484.1875"/>
  </r>
  <r>
    <d v="2020-05-18T00:00:00"/>
    <x v="14"/>
    <n v="12450"/>
    <n v="1115146.5"/>
    <n v="15"/>
    <n v="729"/>
    <n v="636"/>
    <m/>
    <s v="Понедельник"/>
    <x v="3"/>
    <n v="2.2472103514105144E-4"/>
    <n v="74343.100000000006"/>
  </r>
  <r>
    <d v="2020-05-25T00:00:00"/>
    <x v="5"/>
    <n v="28494"/>
    <n v="2512803"/>
    <n v="20"/>
    <n v="1899"/>
    <n v="1738"/>
    <m/>
    <s v="Понедельник"/>
    <x v="0"/>
    <n v="5.063726526205655E-4"/>
    <n v="125640.15"/>
  </r>
  <r>
    <d v="2020-05-18T00:00:00"/>
    <x v="11"/>
    <n v="355081.5"/>
    <n v="36876888"/>
    <n v="125"/>
    <n v="20449"/>
    <n v="19060"/>
    <m/>
    <s v="Понедельник"/>
    <x v="3"/>
    <n v="7.431321753814963E-3"/>
    <n v="295015.10399999999"/>
  </r>
  <r>
    <d v="2020-05-18T00:00:00"/>
    <x v="12"/>
    <n v="273900"/>
    <n v="27535284.147600003"/>
    <n v="129"/>
    <n v="16110"/>
    <n v="14992"/>
    <m/>
    <s v="Понедельник"/>
    <x v="3"/>
    <n v="5.5488292852568311E-3"/>
    <n v="213451.81509767444"/>
  </r>
  <r>
    <d v="2020-05-18T00:00:00"/>
    <x v="13"/>
    <n v="11680.5"/>
    <n v="936427.5"/>
    <n v="10"/>
    <n v="645"/>
    <n v="565"/>
    <m/>
    <s v="Понедельник"/>
    <x v="3"/>
    <n v="1.8870610913861716E-4"/>
    <n v="93642.75"/>
  </r>
  <r>
    <d v="2020-05-24T00:00:00"/>
    <x v="5"/>
    <n v="29824.5"/>
    <n v="2526909"/>
    <n v="19"/>
    <n v="1868"/>
    <n v="1706"/>
    <m/>
    <s v="Воскресенье"/>
    <x v="3"/>
    <n v="5.0921525215497619E-4"/>
    <n v="132995.21052631579"/>
  </r>
  <r>
    <d v="2020-05-31T00:00:00"/>
    <x v="5"/>
    <n v="31372.5"/>
    <n v="2794324.5"/>
    <n v="21"/>
    <n v="2056"/>
    <n v="1879"/>
    <m/>
    <s v="Воскресенье"/>
    <x v="0"/>
    <n v="5.6310403535320336E-4"/>
    <n v="133063.07142857142"/>
  </r>
  <r>
    <d v="2020-05-19T00:00:00"/>
    <x v="6"/>
    <n v="211453.5"/>
    <n v="20590072.5"/>
    <n v="54"/>
    <n v="13070"/>
    <n v="12244"/>
    <m/>
    <s v="Вторник"/>
    <x v="3"/>
    <n v="4.1492507090586722E-3"/>
    <n v="381297.63888888888"/>
  </r>
  <r>
    <d v="2020-05-30T00:00:00"/>
    <x v="5"/>
    <n v="34681.5"/>
    <n v="3005334"/>
    <n v="20"/>
    <n v="2174"/>
    <n v="1957"/>
    <m/>
    <s v="Суббота"/>
    <x v="0"/>
    <n v="6.0562604772072251E-4"/>
    <n v="150266.70000000001"/>
  </r>
  <r>
    <d v="2020-05-19T00:00:00"/>
    <x v="7"/>
    <n v="223597.5"/>
    <n v="21945858"/>
    <n v="60"/>
    <n v="13867"/>
    <n v="12987"/>
    <m/>
    <s v="Вторник"/>
    <x v="3"/>
    <n v="4.4224646060571637E-3"/>
    <n v="365764.3"/>
  </r>
  <r>
    <d v="2020-05-28T00:00:00"/>
    <x v="5"/>
    <n v="28197"/>
    <n v="2559211.5"/>
    <n v="20"/>
    <n v="1875"/>
    <n v="1701"/>
    <m/>
    <s v="Четверг"/>
    <x v="0"/>
    <n v="5.1572475672468406E-4"/>
    <n v="127960.575"/>
  </r>
  <r>
    <d v="2020-05-19T00:00:00"/>
    <x v="9"/>
    <n v="14427"/>
    <n v="1126810.5"/>
    <n v="17"/>
    <n v="857"/>
    <n v="757"/>
    <m/>
    <s v="Вторник"/>
    <x v="3"/>
    <n v="2.2707153003466874E-4"/>
    <n v="66282.970588235301"/>
  </r>
  <r>
    <d v="2020-05-26T00:00:00"/>
    <x v="7"/>
    <n v="244905"/>
    <n v="25163431.5"/>
    <n v="59"/>
    <n v="15369"/>
    <n v="14299"/>
    <m/>
    <s v="Вторник"/>
    <x v="0"/>
    <n v="5.0708605321192687E-3"/>
    <n v="426498.83898305084"/>
  </r>
  <r>
    <d v="2020-05-21T00:00:00"/>
    <x v="7"/>
    <n v="224233.5"/>
    <n v="22253295"/>
    <n v="60"/>
    <n v="14005"/>
    <n v="13002"/>
    <m/>
    <s v="Четверг"/>
    <x v="3"/>
    <n v="4.4844184039488835E-3"/>
    <n v="370888.25"/>
  </r>
  <r>
    <d v="2020-05-20T00:00:00"/>
    <x v="7"/>
    <n v="219622.5"/>
    <n v="21959286"/>
    <n v="60"/>
    <n v="13792"/>
    <n v="12834"/>
    <m/>
    <s v="Среда"/>
    <x v="3"/>
    <n v="4.4251705770303714E-3"/>
    <n v="365988.1"/>
  </r>
  <r>
    <d v="2020-05-20T00:00:00"/>
    <x v="6"/>
    <n v="214885.5"/>
    <n v="21411349.5"/>
    <n v="54"/>
    <n v="13298"/>
    <n v="12428"/>
    <m/>
    <s v="Среда"/>
    <x v="3"/>
    <n v="4.3147520289099541E-3"/>
    <n v="396506.47222222225"/>
  </r>
  <r>
    <d v="2020-05-20T00:00:00"/>
    <x v="9"/>
    <n v="14928"/>
    <n v="1217749.5"/>
    <n v="17"/>
    <n v="890"/>
    <n v="794"/>
    <m/>
    <s v="Среда"/>
    <x v="3"/>
    <n v="2.4539728921939654E-4"/>
    <n v="71632.323529411762"/>
  </r>
  <r>
    <d v="2020-05-23T00:00:00"/>
    <x v="7"/>
    <n v="292018.5"/>
    <n v="28590910.5"/>
    <n v="60"/>
    <n v="17295"/>
    <n v="16010"/>
    <m/>
    <s v="Суббота"/>
    <x v="3"/>
    <n v="5.761555995723572E-3"/>
    <n v="476515.17499999999"/>
  </r>
  <r>
    <d v="2020-05-25T00:00:00"/>
    <x v="7"/>
    <n v="198751.5"/>
    <n v="20582743.5"/>
    <n v="59"/>
    <n v="12983"/>
    <n v="12056"/>
    <m/>
    <s v="Понедельник"/>
    <x v="0"/>
    <n v="4.147773790585136E-3"/>
    <n v="348860.05932203389"/>
  </r>
  <r>
    <d v="2020-05-24T00:00:00"/>
    <x v="7"/>
    <n v="200029.5"/>
    <n v="19959801"/>
    <n v="60"/>
    <n v="12822"/>
    <n v="11916"/>
    <m/>
    <s v="Воскресенье"/>
    <x v="3"/>
    <n v="4.0222402544682631E-3"/>
    <n v="332663.34999999998"/>
  </r>
  <r>
    <d v="2020-05-21T00:00:00"/>
    <x v="6"/>
    <n v="213640.5"/>
    <n v="21042673.5"/>
    <n v="54"/>
    <n v="13240"/>
    <n v="12360"/>
    <m/>
    <s v="Четверг"/>
    <x v="3"/>
    <n v="4.2404575282755869E-3"/>
    <n v="389679.13888888888"/>
  </r>
  <r>
    <d v="2020-05-21T00:00:00"/>
    <x v="9"/>
    <n v="14182.5"/>
    <n v="1172574"/>
    <n v="18"/>
    <n v="888"/>
    <n v="786"/>
    <m/>
    <s v="Четверг"/>
    <x v="3"/>
    <n v="2.3629365564029769E-4"/>
    <n v="65143"/>
  </r>
  <r>
    <d v="2020-05-26T00:00:00"/>
    <x v="6"/>
    <n v="232369.5"/>
    <n v="23856345"/>
    <n v="54"/>
    <n v="14482"/>
    <n v="13510"/>
    <m/>
    <s v="Вторник"/>
    <x v="0"/>
    <n v="4.807460314032324E-3"/>
    <n v="441784.16666666669"/>
  </r>
  <r>
    <d v="2020-05-22T00:00:00"/>
    <x v="1"/>
    <n v="75820.5"/>
    <n v="5943489"/>
    <n v="36"/>
    <n v="4857"/>
    <n v="4456"/>
    <m/>
    <s v="Пятница"/>
    <x v="3"/>
    <n v="1.1977143814103821E-3"/>
    <n v="165096.91666666666"/>
  </r>
  <r>
    <d v="2020-05-22T00:00:00"/>
    <x v="2"/>
    <n v="97963.5"/>
    <n v="7728465"/>
    <n v="31"/>
    <n v="5965"/>
    <n v="5533"/>
    <m/>
    <s v="Пятница"/>
    <x v="3"/>
    <n v="1.5574174826817697E-3"/>
    <n v="249305.32258064515"/>
  </r>
  <r>
    <d v="2020-05-22T00:00:00"/>
    <x v="3"/>
    <n v="53838"/>
    <n v="4840833"/>
    <n v="21"/>
    <n v="2861"/>
    <n v="2612"/>
    <m/>
    <s v="Пятница"/>
    <x v="3"/>
    <n v="9.7551039500636135E-4"/>
    <n v="230515.85714285713"/>
  </r>
  <r>
    <d v="2020-05-31T00:00:00"/>
    <x v="7"/>
    <n v="215277"/>
    <n v="21585316.5"/>
    <n v="59"/>
    <n v="13684"/>
    <n v="12690"/>
    <m/>
    <s v="Воскресенье"/>
    <x v="0"/>
    <n v="4.3498093458816554E-3"/>
    <n v="365852.82203389832"/>
  </r>
  <r>
    <d v="2020-05-22T00:00:00"/>
    <x v="4"/>
    <n v="36031.5"/>
    <n v="3091069.5"/>
    <n v="21"/>
    <n v="2046"/>
    <n v="1853"/>
    <m/>
    <s v="Пятница"/>
    <x v="3"/>
    <n v="6.2290321292577451E-4"/>
    <n v="147193.78571428571"/>
  </r>
  <r>
    <d v="2020-05-22T00:00:00"/>
    <x v="5"/>
    <n v="30781.5"/>
    <n v="2540715"/>
    <n v="19"/>
    <n v="1859"/>
    <n v="1697"/>
    <m/>
    <s v="Пятница"/>
    <x v="3"/>
    <n v="5.1199739657381029E-4"/>
    <n v="133721.84210526315"/>
  </r>
  <r>
    <d v="2020-05-30T00:00:00"/>
    <x v="7"/>
    <n v="246414"/>
    <n v="24527245.5"/>
    <n v="59"/>
    <n v="15030"/>
    <n v="13956"/>
    <m/>
    <s v="Суббота"/>
    <x v="0"/>
    <n v="4.9426582049252677E-3"/>
    <n v="415716.0254237288"/>
  </r>
  <r>
    <d v="2020-05-22T00:00:00"/>
    <x v="6"/>
    <n v="214428"/>
    <n v="20812585.5"/>
    <n v="54"/>
    <n v="13014"/>
    <n v="12095"/>
    <m/>
    <s v="Пятница"/>
    <x v="3"/>
    <n v="4.1940908728329753E-3"/>
    <n v="385418.25"/>
  </r>
  <r>
    <d v="2020-05-22T00:00:00"/>
    <x v="7"/>
    <n v="228334.5"/>
    <n v="22380772.5"/>
    <n v="60"/>
    <n v="14050"/>
    <n v="13027"/>
    <m/>
    <s v="Пятница"/>
    <x v="3"/>
    <n v="4.5101072939352609E-3"/>
    <n v="373012.875"/>
  </r>
  <r>
    <d v="2020-05-23T00:00:00"/>
    <x v="6"/>
    <n v="275793"/>
    <n v="26806626"/>
    <n v="54"/>
    <n v="16221"/>
    <n v="15065"/>
    <m/>
    <s v="Суббота"/>
    <x v="3"/>
    <n v="5.4019922434935886E-3"/>
    <n v="496419"/>
  </r>
  <r>
    <d v="2020-05-22T00:00:00"/>
    <x v="8"/>
    <n v="38074.5"/>
    <n v="3414180"/>
    <n v="20"/>
    <n v="2306"/>
    <n v="2054"/>
    <m/>
    <s v="Пятница"/>
    <x v="3"/>
    <n v="6.8801548833079327E-4"/>
    <n v="170709"/>
  </r>
  <r>
    <d v="2020-05-28T00:00:00"/>
    <x v="7"/>
    <n v="199753.5"/>
    <n v="20535733.5"/>
    <n v="60"/>
    <n v="12854"/>
    <n v="11954"/>
    <m/>
    <s v="Четверг"/>
    <x v="0"/>
    <n v="4.138300473974287E-3"/>
    <n v="342262.22499999998"/>
  </r>
  <r>
    <d v="2020-05-22T00:00:00"/>
    <x v="9"/>
    <n v="17008.5"/>
    <n v="1398771"/>
    <n v="18"/>
    <n v="985"/>
    <n v="861"/>
    <m/>
    <s v="Пятница"/>
    <x v="3"/>
    <n v="2.8187620823388106E-4"/>
    <n v="77709.5"/>
  </r>
  <r>
    <d v="2020-05-25T00:00:00"/>
    <x v="6"/>
    <n v="192948"/>
    <n v="19806927"/>
    <n v="54"/>
    <n v="12336"/>
    <n v="11519"/>
    <m/>
    <s v="Понедельник"/>
    <x v="0"/>
    <n v="3.9914335366727513E-3"/>
    <n v="366794.94444444444"/>
  </r>
  <r>
    <d v="2020-05-22T00:00:00"/>
    <x v="10"/>
    <n v="21483"/>
    <n v="1774329"/>
    <n v="17"/>
    <n v="1268"/>
    <n v="1129"/>
    <m/>
    <s v="Пятница"/>
    <x v="3"/>
    <n v="3.5755754921957487E-4"/>
    <n v="104372.29411764706"/>
  </r>
  <r>
    <d v="2020-05-22T00:00:00"/>
    <x v="14"/>
    <n v="15802.5"/>
    <n v="1411909.5"/>
    <n v="15"/>
    <n v="903"/>
    <n v="792"/>
    <m/>
    <s v="Пятница"/>
    <x v="3"/>
    <n v="2.8452384002055725E-4"/>
    <n v="94127.3"/>
  </r>
  <r>
    <d v="2020-05-22T00:00:00"/>
    <x v="11"/>
    <n v="393018"/>
    <n v="39498373.5"/>
    <n v="125"/>
    <n v="21427"/>
    <n v="19799"/>
    <m/>
    <s v="Пятница"/>
    <x v="3"/>
    <n v="7.9595957834310335E-3"/>
    <n v="315986.98800000001"/>
  </r>
  <r>
    <d v="2020-05-22T00:00:00"/>
    <x v="12"/>
    <n v="304092"/>
    <n v="29465769"/>
    <n v="129"/>
    <n v="17088"/>
    <n v="15804"/>
    <m/>
    <s v="Пятница"/>
    <x v="3"/>
    <n v="5.9378549014924079E-3"/>
    <n v="228416.81395348837"/>
  </r>
  <r>
    <d v="2020-05-22T00:00:00"/>
    <x v="13"/>
    <n v="18036"/>
    <n v="1455049.5"/>
    <n v="10"/>
    <n v="965"/>
    <n v="861"/>
    <m/>
    <s v="Пятница"/>
    <x v="3"/>
    <n v="2.9321728564046904E-4"/>
    <n v="145504.95000000001"/>
  </r>
  <r>
    <d v="2020-05-24T00:00:00"/>
    <x v="6"/>
    <n v="193719"/>
    <n v="19071117"/>
    <n v="54"/>
    <n v="12211"/>
    <n v="11427"/>
    <m/>
    <s v="Воскресенье"/>
    <x v="3"/>
    <n v="3.8431552746980807E-3"/>
    <n v="353168.83333333331"/>
  </r>
  <r>
    <d v="2020-05-31T00:00:00"/>
    <x v="6"/>
    <n v="206758.5"/>
    <n v="20717248.5"/>
    <n v="54"/>
    <n v="13106"/>
    <n v="12164"/>
    <m/>
    <s v="Воскресенье"/>
    <x v="0"/>
    <n v="4.1748788416538949E-3"/>
    <n v="383652.75"/>
  </r>
  <r>
    <d v="2020-05-30T00:00:00"/>
    <x v="6"/>
    <n v="244734"/>
    <n v="24151980"/>
    <n v="54"/>
    <n v="14590"/>
    <n v="13551"/>
    <m/>
    <s v="Суббота"/>
    <x v="0"/>
    <n v="4.8670358076772615E-3"/>
    <n v="447258.88888888888"/>
  </r>
  <r>
    <d v="2020-05-28T00:00:00"/>
    <x v="6"/>
    <n v="191641.5"/>
    <n v="19549036.5"/>
    <n v="54"/>
    <n v="12409"/>
    <n v="11582"/>
    <m/>
    <s v="Четверг"/>
    <x v="0"/>
    <n v="3.9394642033940804E-3"/>
    <n v="362019.19444444444"/>
  </r>
  <r>
    <d v="2020-05-23T00:00:00"/>
    <x v="9"/>
    <n v="17943"/>
    <n v="1457391"/>
    <n v="18"/>
    <n v="1031"/>
    <n v="918"/>
    <m/>
    <s v="Суббота"/>
    <x v="3"/>
    <n v="2.9368913781754424E-4"/>
    <n v="80966.166666666672"/>
  </r>
  <r>
    <d v="2020-05-26T00:00:00"/>
    <x v="15"/>
    <n v="10437"/>
    <n v="833815.5"/>
    <n v="7"/>
    <n v="577"/>
    <n v="389"/>
    <m/>
    <s v="Вторник"/>
    <x v="0"/>
    <n v="1.6802804140680471E-4"/>
    <n v="119116.5"/>
  </r>
  <r>
    <d v="2020-05-25T00:00:00"/>
    <x v="9"/>
    <n v="15807"/>
    <n v="1326705"/>
    <n v="18"/>
    <n v="989"/>
    <n v="887"/>
    <m/>
    <s v="Понедельник"/>
    <x v="0"/>
    <n v="2.6735368037007572E-4"/>
    <n v="73705.833333333328"/>
  </r>
  <r>
    <d v="2020-05-24T00:00:00"/>
    <x v="9"/>
    <n v="17197.5"/>
    <n v="1386262.5"/>
    <n v="18"/>
    <n v="1006"/>
    <n v="904"/>
    <m/>
    <s v="Воскресенье"/>
    <x v="3"/>
    <n v="2.7935553218991568E-4"/>
    <n v="77014.583333333328"/>
  </r>
  <r>
    <d v="2020-05-26T00:00:00"/>
    <x v="9"/>
    <n v="14419.5"/>
    <n v="1210456.5"/>
    <n v="18"/>
    <n v="914"/>
    <n v="804"/>
    <m/>
    <s v="Вторник"/>
    <x v="0"/>
    <n v="2.4392762535972997E-4"/>
    <n v="67247.583333333328"/>
  </r>
  <r>
    <d v="2020-06-01T00:00:00"/>
    <x v="0"/>
    <n v="7816.5"/>
    <n v="636345"/>
    <n v="15"/>
    <n v="453"/>
    <n v="370"/>
    <m/>
    <s v="Понедельник"/>
    <x v="5"/>
    <n v="1.2823436840525649E-4"/>
    <n v="42423"/>
  </r>
  <r>
    <d v="2020-05-31T00:00:00"/>
    <x v="16"/>
    <n v="6409.5"/>
    <n v="493893"/>
    <n v="9"/>
    <n v="345"/>
    <n v="255"/>
    <m/>
    <s v="Воскресенье"/>
    <x v="0"/>
    <n v="9.9527861324874635E-5"/>
    <n v="54877"/>
  </r>
  <r>
    <d v="2020-05-30T00:00:00"/>
    <x v="15"/>
    <n v="11220"/>
    <n v="928675.5"/>
    <n v="7"/>
    <n v="532"/>
    <n v="449"/>
    <m/>
    <s v="Суббота"/>
    <x v="0"/>
    <n v="1.871439489521184E-4"/>
    <n v="132667.92857142858"/>
  </r>
  <r>
    <d v="2020-05-29T00:00:00"/>
    <x v="0"/>
    <n v="8350.5"/>
    <n v="651237"/>
    <n v="15"/>
    <n v="400"/>
    <n v="329"/>
    <m/>
    <s v="Пятница"/>
    <x v="0"/>
    <n v="1.3123536034247778E-4"/>
    <n v="43415.8"/>
  </r>
  <r>
    <d v="2020-05-28T00:00:00"/>
    <x v="15"/>
    <n v="8428.5"/>
    <n v="694669.5"/>
    <n v="7"/>
    <n v="420"/>
    <n v="347"/>
    <m/>
    <s v="Четверг"/>
    <x v="0"/>
    <n v="1.3998774970007673E-4"/>
    <n v="99238.5"/>
  </r>
  <r>
    <d v="2020-05-27T00:00:00"/>
    <x v="4"/>
    <n v="32817"/>
    <n v="3015751.5"/>
    <n v="20"/>
    <n v="2079"/>
    <n v="1893"/>
    <m/>
    <s v="Среда"/>
    <x v="0"/>
    <n v="6.0772535160911914E-4"/>
    <n v="150787.57500000001"/>
  </r>
  <r>
    <d v="2020-05-31T00:00:00"/>
    <x v="17"/>
    <n v="5127"/>
    <n v="468835.5"/>
    <n v="6"/>
    <n v="261"/>
    <n v="188"/>
    <m/>
    <s v="Воскресенье"/>
    <x v="0"/>
    <n v="9.4478347796341029E-5"/>
    <n v="78139.25"/>
  </r>
  <r>
    <d v="2020-05-30T00:00:00"/>
    <x v="9"/>
    <n v="20688"/>
    <n v="1773154.5"/>
    <n v="18"/>
    <n v="1216"/>
    <n v="1101"/>
    <m/>
    <s v="Суббота"/>
    <x v="0"/>
    <n v="3.5732086744209255E-4"/>
    <n v="98508.583333333328"/>
  </r>
  <r>
    <d v="2020-05-28T00:00:00"/>
    <x v="9"/>
    <n v="15678"/>
    <n v="1387443"/>
    <n v="18"/>
    <n v="1020"/>
    <n v="911"/>
    <m/>
    <s v="Четверг"/>
    <x v="0"/>
    <n v="2.7959342306970949E-4"/>
    <n v="77080.166666666672"/>
  </r>
  <r>
    <d v="2020-06-01T00:00:00"/>
    <x v="4"/>
    <n v="31947"/>
    <n v="2945035.5"/>
    <n v="21"/>
    <n v="2025"/>
    <n v="1849"/>
    <m/>
    <s v="Понедельник"/>
    <x v="5"/>
    <n v="5.9347487176540832E-4"/>
    <n v="140239.78571428571"/>
  </r>
  <r>
    <d v="2020-05-31T00:00:00"/>
    <x v="15"/>
    <n v="10416"/>
    <n v="866023.5"/>
    <n v="7"/>
    <n v="530"/>
    <n v="447"/>
    <m/>
    <s v="Воскресенье"/>
    <x v="0"/>
    <n v="1.7451850261510605E-4"/>
    <n v="123717.64285714286"/>
  </r>
  <r>
    <d v="2020-05-29T00:00:00"/>
    <x v="4"/>
    <n v="35431.5"/>
    <n v="3193167"/>
    <n v="20"/>
    <n v="2111"/>
    <n v="1917"/>
    <m/>
    <s v="Пятница"/>
    <x v="0"/>
    <n v="6.4347760013437312E-4"/>
    <n v="159658.35"/>
  </r>
  <r>
    <d v="2020-05-27T00:00:00"/>
    <x v="2"/>
    <n v="78544.5"/>
    <n v="6701083.5"/>
    <n v="31"/>
    <n v="5330"/>
    <n v="4977"/>
    <m/>
    <s v="Среда"/>
    <x v="0"/>
    <n v="1.3503825916026458E-3"/>
    <n v="216163.98387096773"/>
  </r>
  <r>
    <d v="2020-06-01T00:00:00"/>
    <x v="2"/>
    <n v="77269.5"/>
    <n v="6829921.5"/>
    <n v="31"/>
    <n v="5468"/>
    <n v="5081"/>
    <m/>
    <s v="Понедельник"/>
    <x v="5"/>
    <n v="1.3763456455381626E-3"/>
    <n v="220320.04838709679"/>
  </r>
  <r>
    <d v="2020-05-31T00:00:00"/>
    <x v="9"/>
    <n v="16143"/>
    <n v="1423410"/>
    <n v="18"/>
    <n v="1029"/>
    <n v="925"/>
    <m/>
    <s v="Воскресенье"/>
    <x v="0"/>
    <n v="2.8684138687618536E-4"/>
    <n v="79078.333333333328"/>
  </r>
  <r>
    <d v="2020-05-27T00:00:00"/>
    <x v="13"/>
    <n v="12490.5"/>
    <n v="1054798.5"/>
    <n v="10"/>
    <n v="757"/>
    <n v="660"/>
    <m/>
    <s v="Среда"/>
    <x v="0"/>
    <n v="2.1255988409166717E-4"/>
    <n v="105479.85"/>
  </r>
  <r>
    <d v="2020-06-01T00:00:00"/>
    <x v="13"/>
    <n v="11416.5"/>
    <n v="1007742"/>
    <n v="10"/>
    <n v="719"/>
    <n v="627"/>
    <m/>
    <s v="Понедельник"/>
    <x v="5"/>
    <n v="2.0307719693790318E-4"/>
    <n v="100774.2"/>
  </r>
  <r>
    <d v="2020-05-27T00:00:00"/>
    <x v="1"/>
    <n v="69010.5"/>
    <n v="5985894"/>
    <n v="36"/>
    <n v="4951"/>
    <n v="4584"/>
    <m/>
    <s v="Среда"/>
    <x v="0"/>
    <n v="1.2062597119971313E-3"/>
    <n v="166274.83333333334"/>
  </r>
  <r>
    <d v="2020-05-29T00:00:00"/>
    <x v="2"/>
    <n v="87552"/>
    <n v="7387116"/>
    <n v="31"/>
    <n v="5751"/>
    <n v="5319"/>
    <m/>
    <s v="Пятница"/>
    <x v="0"/>
    <n v="1.4886298385252729E-3"/>
    <n v="238294.06451612903"/>
  </r>
  <r>
    <d v="2020-05-27T00:00:00"/>
    <x v="3"/>
    <n v="40420.5"/>
    <n v="3780852"/>
    <n v="21"/>
    <n v="2430"/>
    <n v="2216"/>
    <m/>
    <s v="Среда"/>
    <x v="0"/>
    <n v="7.6190614879310882E-4"/>
    <n v="180040.57142857142"/>
  </r>
  <r>
    <d v="2020-05-27T00:00:00"/>
    <x v="5"/>
    <n v="28050"/>
    <n v="2458555.5"/>
    <n v="20"/>
    <n v="1873"/>
    <n v="1715"/>
    <m/>
    <s v="Среда"/>
    <x v="0"/>
    <n v="4.9544085634643093E-4"/>
    <n v="122927.77499999999"/>
  </r>
  <r>
    <d v="2020-05-29T00:00:00"/>
    <x v="13"/>
    <n v="14823"/>
    <n v="1273464"/>
    <n v="10"/>
    <n v="873"/>
    <n v="770"/>
    <m/>
    <s v="Пятница"/>
    <x v="0"/>
    <n v="2.5662471100870059E-4"/>
    <n v="127346.4"/>
  </r>
  <r>
    <d v="2020-05-27T00:00:00"/>
    <x v="6"/>
    <n v="203532"/>
    <n v="20953324.5"/>
    <n v="54"/>
    <n v="13091"/>
    <n v="12216"/>
    <m/>
    <s v="Среда"/>
    <x v="0"/>
    <n v="4.2224521812034149E-3"/>
    <n v="388024.52777777775"/>
  </r>
  <r>
    <d v="2020-05-27T00:00:00"/>
    <x v="8"/>
    <n v="31257"/>
    <n v="2924133"/>
    <n v="20"/>
    <n v="2079"/>
    <n v="1856"/>
    <m/>
    <s v="Среда"/>
    <x v="0"/>
    <n v="5.8926266158761034E-4"/>
    <n v="146206.65"/>
  </r>
  <r>
    <d v="2020-05-27T00:00:00"/>
    <x v="7"/>
    <n v="215592"/>
    <n v="22342300.5"/>
    <n v="59"/>
    <n v="13942"/>
    <n v="12986"/>
    <m/>
    <s v="Среда"/>
    <x v="0"/>
    <n v="4.5023545299137206E-3"/>
    <n v="378683.05932203389"/>
  </r>
  <r>
    <d v="2020-06-01T00:00:00"/>
    <x v="8"/>
    <n v="32170.5"/>
    <n v="3013512"/>
    <n v="20"/>
    <n v="2136"/>
    <n v="1899"/>
    <m/>
    <s v="Понедельник"/>
    <x v="5"/>
    <n v="6.0727405417133993E-4"/>
    <n v="150675.6"/>
  </r>
  <r>
    <d v="2020-05-27T00:00:00"/>
    <x v="9"/>
    <n v="15276"/>
    <n v="1350199.5"/>
    <n v="18"/>
    <n v="962"/>
    <n v="859"/>
    <m/>
    <s v="Среда"/>
    <x v="0"/>
    <n v="2.7208822274645537E-4"/>
    <n v="75011.083333333328"/>
  </r>
  <r>
    <d v="2020-05-27T00:00:00"/>
    <x v="10"/>
    <n v="18069"/>
    <n v="1603084.5"/>
    <n v="17"/>
    <n v="1203"/>
    <n v="1077"/>
    <m/>
    <s v="Среда"/>
    <x v="0"/>
    <n v="3.2304886242173102E-4"/>
    <n v="94299.088235294112"/>
  </r>
  <r>
    <d v="2020-05-27T00:00:00"/>
    <x v="14"/>
    <n v="13203"/>
    <n v="1211457"/>
    <n v="15"/>
    <n v="809"/>
    <n v="702"/>
    <m/>
    <s v="Среда"/>
    <x v="0"/>
    <n v="2.4412924317017786E-4"/>
    <n v="80763.8"/>
  </r>
  <r>
    <d v="2020-05-27T00:00:00"/>
    <x v="11"/>
    <n v="370012.5"/>
    <n v="39034861.5"/>
    <n v="124"/>
    <n v="21384"/>
    <n v="19897"/>
    <m/>
    <s v="Среда"/>
    <x v="0"/>
    <n v="7.8661902116605991E-3"/>
    <n v="314797.2701612903"/>
  </r>
  <r>
    <d v="2020-05-27T00:00:00"/>
    <x v="12"/>
    <n v="286558.5"/>
    <n v="29256993"/>
    <n v="129"/>
    <n v="17115"/>
    <n v="15962"/>
    <m/>
    <s v="Среда"/>
    <x v="0"/>
    <n v="5.895782977460357E-3"/>
    <n v="226798.39534883722"/>
  </r>
  <r>
    <d v="2020-05-29T00:00:00"/>
    <x v="8"/>
    <n v="35346"/>
    <n v="3258054"/>
    <n v="20"/>
    <n v="2249"/>
    <n v="2000"/>
    <m/>
    <s v="Пятница"/>
    <x v="0"/>
    <n v="6.5655343708243105E-4"/>
    <n v="162902.70000000001"/>
  </r>
  <r>
    <d v="2020-05-27T00:00:00"/>
    <x v="15"/>
    <n v="8362.5"/>
    <n v="687684"/>
    <n v="7"/>
    <n v="409"/>
    <n v="329"/>
    <m/>
    <s v="Среда"/>
    <x v="0"/>
    <n v="1.3858005233387613E-4"/>
    <n v="98240.571428571435"/>
  </r>
  <r>
    <d v="2020-06-01T00:00:00"/>
    <x v="12"/>
    <n v="272926.5"/>
    <n v="27770092.5"/>
    <n v="128"/>
    <n v="16285"/>
    <n v="15130"/>
    <m/>
    <s v="Понедельник"/>
    <x v="5"/>
    <n v="5.5961471721991222E-3"/>
    <n v="216953.84765625"/>
  </r>
  <r>
    <d v="2020-06-01T00:00:00"/>
    <x v="11"/>
    <n v="349699.5"/>
    <n v="37257840.18135"/>
    <n v="123"/>
    <n v="20325"/>
    <n v="18935"/>
    <m/>
    <s v="Понедельник"/>
    <x v="5"/>
    <n v="7.5080901143238414E-3"/>
    <n v="302909.26976707316"/>
  </r>
  <r>
    <d v="2020-05-29T00:00:00"/>
    <x v="12"/>
    <n v="422965.5"/>
    <n v="41767140.105000004"/>
    <n v="129"/>
    <n v="22403"/>
    <n v="20676"/>
    <m/>
    <s v="Пятница"/>
    <x v="0"/>
    <n v="8.4167909411695455E-3"/>
    <n v="323776.27988372097"/>
  </r>
  <r>
    <d v="2020-06-01T00:00:00"/>
    <x v="1"/>
    <n v="64740"/>
    <n v="5800290"/>
    <n v="37"/>
    <n v="4722"/>
    <n v="4352"/>
    <m/>
    <s v="Понедельник"/>
    <x v="5"/>
    <n v="1.1688573410922145E-3"/>
    <n v="156764.59459459459"/>
  </r>
  <r>
    <d v="2020-05-29T00:00:00"/>
    <x v="1"/>
    <n v="84433.5"/>
    <n v="7228395"/>
    <n v="37"/>
    <n v="5672"/>
    <n v="5198"/>
    <m/>
    <s v="Пятница"/>
    <x v="0"/>
    <n v="1.4566448505271732E-3"/>
    <n v="195362.02702702704"/>
  </r>
  <r>
    <d v="2020-05-29T00:00:00"/>
    <x v="11"/>
    <n v="524481"/>
    <n v="54172029"/>
    <n v="124"/>
    <n v="25828"/>
    <n v="23974"/>
    <m/>
    <s v="Пятница"/>
    <x v="0"/>
    <n v="1.0916587580708953E-2"/>
    <n v="436871.20161290321"/>
  </r>
  <r>
    <d v="2020-05-29T00:00:00"/>
    <x v="3"/>
    <n v="44569.5"/>
    <n v="4108596"/>
    <n v="22"/>
    <n v="2597"/>
    <n v="2379"/>
    <m/>
    <s v="Пятница"/>
    <x v="0"/>
    <n v="8.279521534582078E-4"/>
    <n v="186754.36363636365"/>
  </r>
  <r>
    <d v="2020-05-29T00:00:00"/>
    <x v="5"/>
    <n v="32782.5"/>
    <n v="2854741.5"/>
    <n v="20"/>
    <n v="2064"/>
    <n v="1896"/>
    <m/>
    <s v="Пятница"/>
    <x v="0"/>
    <n v="5.7527909107917019E-4"/>
    <n v="142737.07500000001"/>
  </r>
  <r>
    <d v="2020-05-29T00:00:00"/>
    <x v="6"/>
    <n v="226476"/>
    <n v="22416151.5"/>
    <n v="54"/>
    <n v="14031"/>
    <n v="12943"/>
    <m/>
    <s v="Пятница"/>
    <x v="0"/>
    <n v="4.5172367657152065E-3"/>
    <n v="415113.91666666669"/>
  </r>
  <r>
    <d v="2020-05-29T00:00:00"/>
    <x v="7"/>
    <n v="232102.5"/>
    <n v="23120443.5"/>
    <n v="59"/>
    <n v="14507"/>
    <n v="13386"/>
    <m/>
    <s v="Пятница"/>
    <x v="0"/>
    <n v="4.6591636132474017E-3"/>
    <n v="391871.92372881353"/>
  </r>
  <r>
    <d v="2020-06-01T00:00:00"/>
    <x v="3"/>
    <n v="40528.5"/>
    <n v="3865251"/>
    <n v="23"/>
    <n v="2531"/>
    <n v="2296"/>
    <m/>
    <s v="Понедельник"/>
    <x v="5"/>
    <n v="7.7891398645826729E-4"/>
    <n v="168054.39130434784"/>
  </r>
  <r>
    <d v="2020-05-29T00:00:00"/>
    <x v="9"/>
    <n v="16878"/>
    <n v="1438255.5"/>
    <n v="18"/>
    <n v="1014"/>
    <n v="893"/>
    <m/>
    <s v="Пятница"/>
    <x v="0"/>
    <n v="2.8983300827049223E-4"/>
    <n v="79903.083333333328"/>
  </r>
  <r>
    <d v="2020-05-29T00:00:00"/>
    <x v="10"/>
    <n v="19647"/>
    <n v="1764669"/>
    <n v="17"/>
    <n v="1296"/>
    <n v="1153"/>
    <m/>
    <s v="Пятница"/>
    <x v="0"/>
    <n v="3.556108944980091E-4"/>
    <n v="103804.05882352941"/>
  </r>
  <r>
    <d v="2020-05-29T00:00:00"/>
    <x v="14"/>
    <n v="17052"/>
    <n v="1549020"/>
    <n v="16"/>
    <n v="981"/>
    <n v="859"/>
    <m/>
    <s v="Пятница"/>
    <x v="0"/>
    <n v="3.1215394376809814E-4"/>
    <n v="96813.75"/>
  </r>
  <r>
    <d v="2020-05-29T00:00:00"/>
    <x v="15"/>
    <n v="9927"/>
    <n v="850840.5"/>
    <n v="7"/>
    <n v="491"/>
    <n v="411"/>
    <m/>
    <s v="Пятница"/>
    <x v="0"/>
    <n v="1.7145886921577548E-4"/>
    <n v="121548.64285714286"/>
  </r>
  <r>
    <d v="2020-06-01T00:00:00"/>
    <x v="10"/>
    <n v="16687.5"/>
    <n v="1526608.5"/>
    <n v="17"/>
    <n v="1185"/>
    <n v="1042"/>
    <m/>
    <s v="Понедельник"/>
    <x v="5"/>
    <n v="3.0763764435894997E-4"/>
    <n v="89800.5"/>
  </r>
  <r>
    <d v="2020-06-01T00:00:00"/>
    <x v="14"/>
    <n v="16476"/>
    <n v="1565632.5"/>
    <n v="16"/>
    <n v="1019"/>
    <n v="895"/>
    <m/>
    <s v="Понедельник"/>
    <x v="5"/>
    <n v="3.1550164579315115E-4"/>
    <n v="97852.03125"/>
  </r>
  <r>
    <d v="2020-06-01T00:00:00"/>
    <x v="5"/>
    <n v="27960"/>
    <n v="2538967.5"/>
    <n v="21"/>
    <n v="1879"/>
    <n v="1720"/>
    <m/>
    <s v="Понедельник"/>
    <x v="5"/>
    <n v="5.1164524552557667E-4"/>
    <n v="120903.21428571429"/>
  </r>
  <r>
    <d v="2020-06-01T00:00:00"/>
    <x v="7"/>
    <n v="188776.5"/>
    <n v="19465372.5"/>
    <n v="59"/>
    <n v="12299"/>
    <n v="11448"/>
    <m/>
    <s v="Понедельник"/>
    <x v="5"/>
    <n v="3.9226044807620843E-3"/>
    <n v="329921.56779661018"/>
  </r>
  <r>
    <d v="2020-06-01T00:00:00"/>
    <x v="6"/>
    <n v="183228"/>
    <n v="18914194.5"/>
    <n v="54"/>
    <n v="11864"/>
    <n v="11071"/>
    <m/>
    <s v="Понедельник"/>
    <x v="5"/>
    <n v="3.8115327151178628E-3"/>
    <n v="350262.86111111112"/>
  </r>
  <r>
    <d v="2020-06-01T00:00:00"/>
    <x v="16"/>
    <n v="5166"/>
    <n v="389013"/>
    <n v="9"/>
    <n v="294"/>
    <n v="224"/>
    <m/>
    <s v="Понедельник"/>
    <x v="5"/>
    <n v="7.8392752919303284E-5"/>
    <n v="43223.666666666664"/>
  </r>
  <r>
    <d v="2020-06-01T00:00:00"/>
    <x v="9"/>
    <n v="14238"/>
    <n v="1293219"/>
    <n v="18"/>
    <n v="923"/>
    <n v="824"/>
    <m/>
    <s v="Понедельник"/>
    <x v="5"/>
    <n v="2.6060568036941816E-4"/>
    <n v="71845.5"/>
  </r>
  <r>
    <d v="2020-06-01T00:00:00"/>
    <x v="17"/>
    <n v="4408.5"/>
    <n v="410892"/>
    <n v="6"/>
    <n v="237"/>
    <n v="175"/>
    <m/>
    <s v="Понедельник"/>
    <x v="5"/>
    <n v="8.280174449830305E-5"/>
    <n v="68482"/>
  </r>
  <r>
    <d v="2020-06-01T00:00:00"/>
    <x v="15"/>
    <n v="9474"/>
    <n v="802447.5"/>
    <n v="7"/>
    <n v="500"/>
    <n v="418"/>
    <m/>
    <s v="Понедельник"/>
    <x v="5"/>
    <n v="1.6170685452211782E-4"/>
    <n v="114635.357142857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F93E4-6675-4146-8A3E-ED5BCEE40A36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2" firstHeaderRow="0" firstDataRow="1" firstDataCol="1" rowPageCount="1" colPageCount="1"/>
  <pivotFields count="12">
    <pivotField numFmtId="14" showAll="0"/>
    <pivotField axis="axisRow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7">
        <item x="1"/>
        <item x="4"/>
        <item x="2"/>
        <item x="3"/>
        <item x="0"/>
        <item x="5"/>
        <item t="default"/>
      </items>
    </pivotField>
    <pivotField dataField="1" numFmtId="10"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item="5" hier="-1"/>
  </pageFields>
  <dataFields count="3">
    <dataField name="Сумма по полю Товарооборот, руб" fld="3" baseField="0" baseItem="0"/>
    <dataField name="Сумма по полю товароборот на склад" fld="11" baseField="0" baseItem="0"/>
    <dataField name="Сумма по полю Доля" fld="10" baseField="0" baseItem="0" numFmtId="10"/>
  </dataFields>
  <formats count="1"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F900B-F1A1-4CF6-8604-C45FFFCDA226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>
  <location ref="A3:C11" firstHeaderRow="0" firstDataRow="1" firstDataCol="1"/>
  <pivotFields count="12">
    <pivotField numFmtId="14" showAll="0"/>
    <pivotField axis="axisRow" showAll="0">
      <items count="19"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4"/>
        <item h="1" x="0"/>
        <item h="1" x="11"/>
        <item h="1" x="12"/>
        <item h="1" x="13"/>
        <item h="1" x="16"/>
        <item h="1" x="15"/>
        <item h="1"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numFmtId="10" showAll="0"/>
    <pivotField dataField="1" showAll="0"/>
  </pivotFields>
  <rowFields count="2">
    <field x="1"/>
    <field x="9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борот на склад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DAA5927-34F8-4CB0-95CF-5CFE38B69190}" autoFormatId="16" applyNumberFormats="0" applyBorderFormats="0" applyFontFormats="0" applyPatternFormats="0" applyAlignmentFormats="0" applyWidthHeightFormats="0">
  <queryTableRefresh nextId="17" unboundColumnsRight="2">
    <queryTableFields count="12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" tableColumnId="8"/>
      <queryTableField id="11" name="Название недели" tableColumnId="11"/>
      <queryTableField id="14" name="Неделя года" tableColumnId="10"/>
      <queryTableField id="15" dataBound="0" tableColumnId="12"/>
      <queryTableField id="16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C13AE93-0D20-4D05-A7C0-9D5A65EFC778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271488-F6B3-4460-93FF-E802C5B6CA20}" autoFormatId="16" applyNumberFormats="0" applyBorderFormats="0" applyFontFormats="0" applyPatternFormats="0" applyAlignmentFormats="0" applyWidthHeightFormats="0">
  <queryTableRefresh nextId="25">
    <queryTableFields count="24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" tableColumnId="8"/>
      <queryTableField id="9" name="Неделя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E66B20-B585-4EC5-A2AC-136320C7B321}" name="Слияние1" displayName="Слияние1" ref="A1:L505" tableType="queryTable" totalsRowShown="0">
  <autoFilter ref="A1:L505" xr:uid="{8EE66B20-B585-4EC5-A2AC-136320C7B321}"/>
  <tableColumns count="12">
    <tableColumn id="1" xr3:uid="{649A3144-7086-41FF-9F90-E942179CFF8F}" uniqueName="1" name="Дата" queryTableFieldId="1" dataDxfId="8"/>
    <tableColumn id="2" xr3:uid="{5F49AECD-11B5-44A8-9985-D7EA471A5AAA}" uniqueName="2" name="Территория" queryTableFieldId="2" dataDxfId="7"/>
    <tableColumn id="3" xr3:uid="{B343BFE7-DDD9-4579-BF32-2DE3041475E6}" uniqueName="3" name="Товарооборот, шт" queryTableFieldId="3"/>
    <tableColumn id="4" xr3:uid="{453D1C69-F8FE-4625-A540-1C4B0EB00734}" uniqueName="4" name="Товарооборот, руб" queryTableFieldId="4"/>
    <tableColumn id="5" xr3:uid="{43439693-D2B6-4E00-A940-2BD65B1E3A46}" uniqueName="5" name="Количество складов" queryTableFieldId="5"/>
    <tableColumn id="6" xr3:uid="{6FF36CCE-11CD-4ACB-A049-1B7233FD4274}" uniqueName="6" name="Количество заказов" queryTableFieldId="6"/>
    <tableColumn id="7" xr3:uid="{4125A443-1F22-48CE-93B9-D0D4D22FD928}" uniqueName="7" name="Количество клиентов" queryTableFieldId="7"/>
    <tableColumn id="8" xr3:uid="{54D8CDD1-A7A8-4965-AC74-298D031A91A2}" uniqueName="8" name="Товарооборот на склад" queryTableFieldId="8"/>
    <tableColumn id="11" xr3:uid="{39430C67-BAF4-4116-BC9C-9FA3CC092DD9}" uniqueName="11" name="Название недели" queryTableFieldId="11"/>
    <tableColumn id="10" xr3:uid="{50588F2E-E563-4FB4-999A-16643494E9DD}" uniqueName="10" name="Неделя года" queryTableFieldId="14"/>
    <tableColumn id="12" xr3:uid="{44020A86-DCA9-40B2-8287-866E3236C9BC}" uniqueName="12" name="Доля" queryTableFieldId="15" dataDxfId="6" dataCellStyle="Процентный">
      <calculatedColumnFormula xml:space="preserve"> D2/SUM($D$2:$D$505)</calculatedColumnFormula>
    </tableColumn>
    <tableColumn id="13" xr3:uid="{7C2B75F4-08FB-4391-9E93-C23F14805793}" uniqueName="13" name="товароборот на склад" queryTableFieldId="16" dataDxfId="5">
      <calculatedColumnFormula>D2/E2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155BFC-DD3D-449A-97B4-D55206C5E7EA}" name="Лист2" displayName="Лист2" ref="A1:E1000" tableType="queryTable" totalsRowShown="0">
  <autoFilter ref="A1:E1000" xr:uid="{BF155BFC-DD3D-449A-97B4-D55206C5E7EA}"/>
  <tableColumns count="5">
    <tableColumn id="1" xr3:uid="{B773FAC6-2ED3-4E9A-91D2-8AD251ED6488}" uniqueName="1" name="Дата" queryTableFieldId="1" dataDxfId="12"/>
    <tableColumn id="2" xr3:uid="{A9F57AAF-82FB-4BA1-9D20-D5242C8882AA}" uniqueName="2" name="Территория" queryTableFieldId="2" dataDxfId="11"/>
    <tableColumn id="3" xr3:uid="{FE65F5BB-E393-43C6-9430-526B86D93147}" uniqueName="3" name="Количество складов" queryTableFieldId="3"/>
    <tableColumn id="4" xr3:uid="{E7CAF1A7-6425-4221-87B4-F57F9D8C6C34}" uniqueName="4" name="Количество заказов" queryTableFieldId="4"/>
    <tableColumn id="5" xr3:uid="{90A0481C-627A-4C47-8AA4-A175C3F0FC46}" uniqueName="5" name="Количество клиентов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1C169-FD64-4D9F-8F21-5FB5AFD55F70}" name="Лист1" displayName="Лист1" ref="A1:X1000" tableType="queryTable" totalsRowShown="0">
  <autoFilter ref="A1:X1000" xr:uid="{26E1C169-FD64-4D9F-8F21-5FB5AFD55F70}"/>
  <tableColumns count="24">
    <tableColumn id="1" xr3:uid="{2ADBB643-9CCF-42B7-9D59-D8A03A5C225D}" uniqueName="1" name="Дата" queryTableFieldId="1" dataDxfId="10"/>
    <tableColumn id="2" xr3:uid="{1D1A587F-1AC8-4407-8638-512ED9003BA7}" uniqueName="2" name="Территория" queryTableFieldId="2" dataDxfId="9"/>
    <tableColumn id="3" xr3:uid="{E1DD54A0-AB6C-49FD-AE62-6DF593DBCE56}" uniqueName="3" name="Товарооборот, шт" queryTableFieldId="3"/>
    <tableColumn id="4" xr3:uid="{D956D9D7-217F-4224-B11F-0A0E57C20557}" uniqueName="4" name="Товарооборот, руб" queryTableFieldId="4"/>
    <tableColumn id="5" xr3:uid="{BF7029F2-7FEE-4A33-8835-CA28CEF00779}" uniqueName="5" name="Количество складов" queryTableFieldId="5"/>
    <tableColumn id="6" xr3:uid="{0E19C7B4-4C2E-4AF1-AD92-99A7AF15302A}" uniqueName="6" name="Количество заказов" queryTableFieldId="6"/>
    <tableColumn id="7" xr3:uid="{2506F4E5-C338-4781-86E1-23CD0B84693A}" uniqueName="7" name="Количество клиентов" queryTableFieldId="7"/>
    <tableColumn id="8" xr3:uid="{3A3AB319-1C2F-4AD3-BDAB-E66BE5A02D51}" uniqueName="8" name="Товарооборот на склад" queryTableFieldId="8"/>
    <tableColumn id="9" xr3:uid="{818186A8-D8CD-41AF-9956-72BCE01111CC}" uniqueName="9" name="Неделя" queryTableFieldId="9"/>
    <tableColumn id="10" xr3:uid="{E8A10D1A-F311-4493-AE2A-BF1C93F689F5}" uniqueName="10" name="Column10" queryTableFieldId="10"/>
    <tableColumn id="11" xr3:uid="{A8A58192-3B9B-4996-AAE9-CEBD445ED2A5}" uniqueName="11" name="Column11" queryTableFieldId="11"/>
    <tableColumn id="12" xr3:uid="{60617A5E-82FC-47AF-8255-D589EE10AEC3}" uniqueName="12" name="Column12" queryTableFieldId="12"/>
    <tableColumn id="13" xr3:uid="{6212FDA1-4EC5-4DC8-9412-3FAB70F03DE7}" uniqueName="13" name="Column13" queryTableFieldId="13"/>
    <tableColumn id="14" xr3:uid="{3DDD5E6B-E10D-40FF-ACA3-1E09B875F93C}" uniqueName="14" name="Column14" queryTableFieldId="14"/>
    <tableColumn id="15" xr3:uid="{9D9DC814-EAD8-4A40-8294-915E960D8635}" uniqueName="15" name="Column15" queryTableFieldId="15"/>
    <tableColumn id="16" xr3:uid="{66922E4F-CAF0-47DA-8F82-C55440419D32}" uniqueName="16" name="Column16" queryTableFieldId="16"/>
    <tableColumn id="17" xr3:uid="{63D0C703-5BB4-4E83-9FF0-1A831501E1FC}" uniqueName="17" name="Column17" queryTableFieldId="17"/>
    <tableColumn id="18" xr3:uid="{2BEC84A1-4351-41B6-8B2F-AD01AF225B70}" uniqueName="18" name="Column18" queryTableFieldId="18"/>
    <tableColumn id="19" xr3:uid="{B0608A45-B761-4D5F-9106-7DC3A2BF7A90}" uniqueName="19" name="Column19" queryTableFieldId="19"/>
    <tableColumn id="20" xr3:uid="{8187BFEB-49A4-43CC-99F3-ACC7043428E6}" uniqueName="20" name="Column20" queryTableFieldId="20"/>
    <tableColumn id="21" xr3:uid="{6A981158-935F-4381-9332-395073F88CCE}" uniqueName="21" name="Column21" queryTableFieldId="21"/>
    <tableColumn id="22" xr3:uid="{AA74BD76-A6AA-4358-8400-322020E160C8}" uniqueName="22" name="Column22" queryTableFieldId="22"/>
    <tableColumn id="23" xr3:uid="{9BE099A6-8389-44E2-BEFE-44C6F8F4111F}" uniqueName="23" name="Column23" queryTableFieldId="23"/>
    <tableColumn id="24" xr3:uid="{0CB22E0B-B1FB-452B-90CA-4A25C804C60B}" uniqueName="24" name="Column24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4EA5-CB77-4A8C-B3E3-49F07F5DAD0E}">
  <dimension ref="A1:D22"/>
  <sheetViews>
    <sheetView workbookViewId="0">
      <selection activeCell="H18" sqref="H18"/>
    </sheetView>
  </sheetViews>
  <sheetFormatPr defaultRowHeight="14.4" x14ac:dyDescent="0.3"/>
  <cols>
    <col min="1" max="1" width="21" bestFit="1" customWidth="1"/>
    <col min="2" max="2" width="32.77734375" bestFit="1" customWidth="1"/>
    <col min="3" max="3" width="35.33203125" bestFit="1" customWidth="1"/>
    <col min="4" max="4" width="20" bestFit="1" customWidth="1"/>
  </cols>
  <sheetData>
    <row r="1" spans="1:4" x14ac:dyDescent="0.3">
      <c r="A1" s="14" t="s">
        <v>55</v>
      </c>
      <c r="B1" s="15">
        <v>23</v>
      </c>
    </row>
    <row r="3" spans="1:4" x14ac:dyDescent="0.3">
      <c r="A3" s="14" t="s">
        <v>50</v>
      </c>
      <c r="B3" t="s">
        <v>52</v>
      </c>
      <c r="C3" t="s">
        <v>57</v>
      </c>
      <c r="D3" s="19" t="s">
        <v>54</v>
      </c>
    </row>
    <row r="4" spans="1:4" x14ac:dyDescent="0.3">
      <c r="A4" s="15" t="s">
        <v>16</v>
      </c>
      <c r="B4" s="16">
        <v>5800290</v>
      </c>
      <c r="C4" s="16">
        <v>156764.59459459459</v>
      </c>
      <c r="D4" s="19">
        <v>1.1688573410922145E-3</v>
      </c>
    </row>
    <row r="5" spans="1:4" x14ac:dyDescent="0.3">
      <c r="A5" s="15" t="s">
        <v>11</v>
      </c>
      <c r="B5" s="16">
        <v>6829921.5</v>
      </c>
      <c r="C5" s="16">
        <v>220320.04838709679</v>
      </c>
      <c r="D5" s="19">
        <v>1.3763456455381626E-3</v>
      </c>
    </row>
    <row r="6" spans="1:4" x14ac:dyDescent="0.3">
      <c r="A6" s="15" t="s">
        <v>17</v>
      </c>
      <c r="B6" s="16">
        <v>3865251</v>
      </c>
      <c r="C6" s="16">
        <v>168054.39130434784</v>
      </c>
      <c r="D6" s="19">
        <v>7.7891398645826729E-4</v>
      </c>
    </row>
    <row r="7" spans="1:4" x14ac:dyDescent="0.3">
      <c r="A7" s="15" t="s">
        <v>10</v>
      </c>
      <c r="B7" s="16">
        <v>2945035.5</v>
      </c>
      <c r="C7" s="16">
        <v>140239.78571428571</v>
      </c>
      <c r="D7" s="19">
        <v>5.9347487176540832E-4</v>
      </c>
    </row>
    <row r="8" spans="1:4" x14ac:dyDescent="0.3">
      <c r="A8" s="15" t="s">
        <v>20</v>
      </c>
      <c r="B8" s="16">
        <v>2538967.5</v>
      </c>
      <c r="C8" s="16">
        <v>120903.21428571429</v>
      </c>
      <c r="D8" s="19">
        <v>5.1164524552557667E-4</v>
      </c>
    </row>
    <row r="9" spans="1:4" x14ac:dyDescent="0.3">
      <c r="A9" s="15" t="s">
        <v>22</v>
      </c>
      <c r="B9" s="16">
        <v>18914194.5</v>
      </c>
      <c r="C9" s="16">
        <v>350262.86111111112</v>
      </c>
      <c r="D9" s="19">
        <v>3.8115327151178628E-3</v>
      </c>
    </row>
    <row r="10" spans="1:4" x14ac:dyDescent="0.3">
      <c r="A10" s="15" t="s">
        <v>21</v>
      </c>
      <c r="B10" s="16">
        <v>19465372.5</v>
      </c>
      <c r="C10" s="16">
        <v>329921.56779661018</v>
      </c>
      <c r="D10" s="19">
        <v>3.9226044807620843E-3</v>
      </c>
    </row>
    <row r="11" spans="1:4" x14ac:dyDescent="0.3">
      <c r="A11" s="15" t="s">
        <v>13</v>
      </c>
      <c r="B11" s="16">
        <v>3013512</v>
      </c>
      <c r="C11" s="16">
        <v>150675.6</v>
      </c>
      <c r="D11" s="19">
        <v>6.0727405417133993E-4</v>
      </c>
    </row>
    <row r="12" spans="1:4" x14ac:dyDescent="0.3">
      <c r="A12" s="15" t="s">
        <v>23</v>
      </c>
      <c r="B12" s="16">
        <v>1293219</v>
      </c>
      <c r="C12" s="16">
        <v>71845.5</v>
      </c>
      <c r="D12" s="19">
        <v>2.6060568036941816E-4</v>
      </c>
    </row>
    <row r="13" spans="1:4" x14ac:dyDescent="0.3">
      <c r="A13" s="15" t="s">
        <v>18</v>
      </c>
      <c r="B13" s="16">
        <v>1526608.5</v>
      </c>
      <c r="C13" s="16">
        <v>89800.5</v>
      </c>
      <c r="D13" s="19">
        <v>3.0763764435894997E-4</v>
      </c>
    </row>
    <row r="14" spans="1:4" x14ac:dyDescent="0.3">
      <c r="A14" s="15" t="s">
        <v>19</v>
      </c>
      <c r="B14" s="16">
        <v>1565632.5</v>
      </c>
      <c r="C14" s="16">
        <v>97852.03125</v>
      </c>
      <c r="D14" s="19">
        <v>3.1550164579315115E-4</v>
      </c>
    </row>
    <row r="15" spans="1:4" x14ac:dyDescent="0.3">
      <c r="A15" s="15" t="s">
        <v>9</v>
      </c>
      <c r="B15" s="16">
        <v>636345</v>
      </c>
      <c r="C15" s="16">
        <v>42423</v>
      </c>
      <c r="D15" s="19">
        <v>1.2823436840525649E-4</v>
      </c>
    </row>
    <row r="16" spans="1:4" x14ac:dyDescent="0.3">
      <c r="A16" s="15" t="s">
        <v>15</v>
      </c>
      <c r="B16" s="16">
        <v>37257840.18135</v>
      </c>
      <c r="C16" s="16">
        <v>302909.26976707316</v>
      </c>
      <c r="D16" s="19">
        <v>7.5080901143238414E-3</v>
      </c>
    </row>
    <row r="17" spans="1:4" x14ac:dyDescent="0.3">
      <c r="A17" s="15" t="s">
        <v>14</v>
      </c>
      <c r="B17" s="16">
        <v>27770092.5</v>
      </c>
      <c r="C17" s="16">
        <v>216953.84765625</v>
      </c>
      <c r="D17" s="19">
        <v>5.5961471721991222E-3</v>
      </c>
    </row>
    <row r="18" spans="1:4" x14ac:dyDescent="0.3">
      <c r="A18" s="15" t="s">
        <v>12</v>
      </c>
      <c r="B18" s="16">
        <v>1007742</v>
      </c>
      <c r="C18" s="16">
        <v>100774.2</v>
      </c>
      <c r="D18" s="19">
        <v>2.0307719693790318E-4</v>
      </c>
    </row>
    <row r="19" spans="1:4" x14ac:dyDescent="0.3">
      <c r="A19" s="15" t="s">
        <v>25</v>
      </c>
      <c r="B19" s="16">
        <v>389013</v>
      </c>
      <c r="C19" s="16">
        <v>43223.666666666664</v>
      </c>
      <c r="D19" s="19">
        <v>7.8392752919303284E-5</v>
      </c>
    </row>
    <row r="20" spans="1:4" x14ac:dyDescent="0.3">
      <c r="A20" s="15" t="s">
        <v>24</v>
      </c>
      <c r="B20" s="16">
        <v>802447.5</v>
      </c>
      <c r="C20" s="16">
        <v>114635.35714285714</v>
      </c>
      <c r="D20" s="19">
        <v>1.6170685452211782E-4</v>
      </c>
    </row>
    <row r="21" spans="1:4" x14ac:dyDescent="0.3">
      <c r="A21" s="15" t="s">
        <v>26</v>
      </c>
      <c r="B21" s="16">
        <v>410892</v>
      </c>
      <c r="C21" s="16">
        <v>68482</v>
      </c>
      <c r="D21" s="19">
        <v>8.280174449830305E-5</v>
      </c>
    </row>
    <row r="22" spans="1:4" x14ac:dyDescent="0.3">
      <c r="A22" s="15" t="s">
        <v>51</v>
      </c>
      <c r="B22" s="16">
        <v>136032376.68134999</v>
      </c>
      <c r="C22" s="16">
        <v>2786041.4356766078</v>
      </c>
      <c r="D22" s="19">
        <v>2.7412843514758284E-2</v>
      </c>
    </row>
  </sheetData>
  <sortState xmlns:xlrd2="http://schemas.microsoft.com/office/spreadsheetml/2017/richdata2" columnSort="1" ref="A3:D22">
    <sortCondition descending="1" ref="D3"/>
  </sortState>
  <conditionalFormatting sqref="D3">
    <cfRule type="top10" dxfId="3" priority="3" rank="3"/>
  </conditionalFormatting>
  <conditionalFormatting sqref="D3:D21">
    <cfRule type="top10" dxfId="2" priority="2" rank="3"/>
  </conditionalFormatting>
  <conditionalFormatting sqref="C3:C21">
    <cfRule type="top10" dxfId="0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4FB6-1CA1-4F2A-B2FB-7483DBB8DA14}">
  <dimension ref="A3:C11"/>
  <sheetViews>
    <sheetView tabSelected="1" topLeftCell="B1" zoomScale="86" workbookViewId="0">
      <selection activeCell="A4" sqref="A4:B4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5.33203125" bestFit="1" customWidth="1"/>
  </cols>
  <sheetData>
    <row r="3" spans="1:3" x14ac:dyDescent="0.3">
      <c r="A3" s="14" t="s">
        <v>50</v>
      </c>
      <c r="B3" t="s">
        <v>52</v>
      </c>
      <c r="C3" t="s">
        <v>57</v>
      </c>
    </row>
    <row r="4" spans="1:3" x14ac:dyDescent="0.3">
      <c r="A4" s="15" t="s">
        <v>16</v>
      </c>
      <c r="B4" s="16">
        <v>218000127</v>
      </c>
      <c r="C4" s="16">
        <v>6029485.6216216218</v>
      </c>
    </row>
    <row r="5" spans="1:3" x14ac:dyDescent="0.3">
      <c r="A5" s="20">
        <v>18</v>
      </c>
      <c r="B5" s="16">
        <v>36934095</v>
      </c>
      <c r="C5" s="16">
        <v>1025947.0833333334</v>
      </c>
    </row>
    <row r="6" spans="1:3" x14ac:dyDescent="0.3">
      <c r="A6" s="20">
        <v>19</v>
      </c>
      <c r="B6" s="16">
        <v>43307155.5</v>
      </c>
      <c r="C6" s="16">
        <v>1202976.5416666667</v>
      </c>
    </row>
    <row r="7" spans="1:3" x14ac:dyDescent="0.3">
      <c r="A7" s="20">
        <v>20</v>
      </c>
      <c r="B7" s="16">
        <v>41300679</v>
      </c>
      <c r="C7" s="16">
        <v>1147241.0833333333</v>
      </c>
    </row>
    <row r="8" spans="1:3" x14ac:dyDescent="0.3">
      <c r="A8" s="20">
        <v>21</v>
      </c>
      <c r="B8" s="16">
        <v>44172813</v>
      </c>
      <c r="C8" s="16">
        <v>1227022.5833333333</v>
      </c>
    </row>
    <row r="9" spans="1:3" x14ac:dyDescent="0.3">
      <c r="A9" s="20">
        <v>22</v>
      </c>
      <c r="B9" s="16">
        <v>46485094.5</v>
      </c>
      <c r="C9" s="16">
        <v>1269533.7353603605</v>
      </c>
    </row>
    <row r="10" spans="1:3" x14ac:dyDescent="0.3">
      <c r="A10" s="20">
        <v>23</v>
      </c>
      <c r="B10" s="16">
        <v>5800290</v>
      </c>
      <c r="C10" s="16">
        <v>156764.59459459459</v>
      </c>
    </row>
    <row r="11" spans="1:3" x14ac:dyDescent="0.3">
      <c r="A11" s="15" t="s">
        <v>51</v>
      </c>
      <c r="B11" s="16">
        <v>218000127</v>
      </c>
      <c r="C11" s="16">
        <v>6029485.6216216218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F302-C68D-4AC1-98DE-25D2ACD9CCEB}">
  <sheetPr codeName="Лист2"/>
  <dimension ref="A1:L505"/>
  <sheetViews>
    <sheetView topLeftCell="A2" zoomScale="38" zoomScaleNormal="128" workbookViewId="0">
      <selection activeCell="E69" sqref="A2:L505"/>
    </sheetView>
  </sheetViews>
  <sheetFormatPr defaultRowHeight="14.4" x14ac:dyDescent="0.3"/>
  <cols>
    <col min="1" max="1" width="10.1093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1.109375" bestFit="1" customWidth="1"/>
    <col min="6" max="6" width="20.88671875" bestFit="1" customWidth="1"/>
    <col min="7" max="7" width="22.109375" bestFit="1" customWidth="1"/>
    <col min="8" max="8" width="24.21875" bestFit="1" customWidth="1"/>
    <col min="9" max="9" width="18.44140625" bestFit="1" customWidth="1"/>
    <col min="10" max="10" width="13.88671875" bestFit="1" customWidth="1"/>
    <col min="11" max="11" width="13.21875" bestFit="1" customWidth="1"/>
    <col min="12" max="12" width="18.44140625" customWidth="1"/>
    <col min="13" max="13" width="9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</v>
      </c>
      <c r="J1" t="s">
        <v>55</v>
      </c>
      <c r="K1" s="17" t="s">
        <v>53</v>
      </c>
      <c r="L1" s="17" t="s">
        <v>56</v>
      </c>
    </row>
    <row r="2" spans="1:12" x14ac:dyDescent="0.3">
      <c r="A2" s="13">
        <v>43982</v>
      </c>
      <c r="B2" s="16" t="s">
        <v>9</v>
      </c>
      <c r="C2">
        <v>7944</v>
      </c>
      <c r="D2">
        <v>623971.5</v>
      </c>
      <c r="E2">
        <v>15</v>
      </c>
      <c r="F2">
        <v>441</v>
      </c>
      <c r="G2">
        <v>368</v>
      </c>
      <c r="I2" t="s">
        <v>43</v>
      </c>
      <c r="J2">
        <v>22</v>
      </c>
      <c r="K2" s="18">
        <f t="shared" ref="K2:K65" si="0" xml:space="preserve"> D2/SUM($D$2:$D$505)</f>
        <v>1.2574089716330057E-4</v>
      </c>
      <c r="L2">
        <f t="shared" ref="L2:L65" si="1">D2/E2</f>
        <v>41598.1</v>
      </c>
    </row>
    <row r="3" spans="1:12" x14ac:dyDescent="0.3">
      <c r="A3" s="13">
        <v>43949</v>
      </c>
      <c r="B3" s="16" t="s">
        <v>16</v>
      </c>
      <c r="C3">
        <v>73147.5</v>
      </c>
      <c r="D3">
        <v>6288246</v>
      </c>
      <c r="E3">
        <v>36</v>
      </c>
      <c r="F3">
        <v>4923</v>
      </c>
      <c r="G3">
        <v>4560</v>
      </c>
      <c r="I3" t="s">
        <v>44</v>
      </c>
      <c r="J3">
        <v>18</v>
      </c>
      <c r="K3" s="18">
        <f t="shared" si="0"/>
        <v>1.2671887956798287E-3</v>
      </c>
      <c r="L3">
        <f t="shared" si="1"/>
        <v>174673.5</v>
      </c>
    </row>
    <row r="4" spans="1:12" x14ac:dyDescent="0.3">
      <c r="A4" s="13">
        <v>43981</v>
      </c>
      <c r="B4" s="16" t="s">
        <v>9</v>
      </c>
      <c r="C4">
        <v>10029</v>
      </c>
      <c r="D4">
        <v>787101</v>
      </c>
      <c r="E4">
        <v>15</v>
      </c>
      <c r="F4">
        <v>490</v>
      </c>
      <c r="G4">
        <v>409</v>
      </c>
      <c r="I4" t="s">
        <v>45</v>
      </c>
      <c r="J4">
        <v>22</v>
      </c>
      <c r="K4" s="18">
        <f t="shared" si="0"/>
        <v>1.5861427308479803E-4</v>
      </c>
      <c r="L4">
        <f t="shared" si="1"/>
        <v>52473.4</v>
      </c>
    </row>
    <row r="5" spans="1:12" x14ac:dyDescent="0.3">
      <c r="A5" s="13">
        <v>43949</v>
      </c>
      <c r="B5" s="16" t="s">
        <v>11</v>
      </c>
      <c r="C5">
        <v>81826.5</v>
      </c>
      <c r="D5">
        <v>7163644.5</v>
      </c>
      <c r="E5">
        <v>31</v>
      </c>
      <c r="F5">
        <v>5465</v>
      </c>
      <c r="G5">
        <v>5096</v>
      </c>
      <c r="I5" t="s">
        <v>44</v>
      </c>
      <c r="J5">
        <v>18</v>
      </c>
      <c r="K5" s="18">
        <f t="shared" si="0"/>
        <v>1.4435965206567028E-3</v>
      </c>
      <c r="L5">
        <f t="shared" si="1"/>
        <v>231085.30645161291</v>
      </c>
    </row>
    <row r="6" spans="1:12" x14ac:dyDescent="0.3">
      <c r="A6" s="13">
        <v>43979</v>
      </c>
      <c r="B6" s="16" t="s">
        <v>9</v>
      </c>
      <c r="C6">
        <v>8536.5</v>
      </c>
      <c r="D6">
        <v>643944</v>
      </c>
      <c r="E6">
        <v>15</v>
      </c>
      <c r="F6">
        <v>464</v>
      </c>
      <c r="G6">
        <v>390</v>
      </c>
      <c r="I6" t="s">
        <v>46</v>
      </c>
      <c r="J6">
        <v>22</v>
      </c>
      <c r="K6" s="18">
        <f t="shared" si="0"/>
        <v>1.297656964828112E-4</v>
      </c>
      <c r="L6">
        <f t="shared" si="1"/>
        <v>42929.599999999999</v>
      </c>
    </row>
    <row r="7" spans="1:12" x14ac:dyDescent="0.3">
      <c r="A7" s="13">
        <v>43949</v>
      </c>
      <c r="B7" s="16" t="s">
        <v>17</v>
      </c>
      <c r="C7">
        <v>32181</v>
      </c>
      <c r="D7">
        <v>2863600.5</v>
      </c>
      <c r="E7">
        <v>19</v>
      </c>
      <c r="F7">
        <v>1846</v>
      </c>
      <c r="G7">
        <v>1681</v>
      </c>
      <c r="I7" t="s">
        <v>44</v>
      </c>
      <c r="J7">
        <v>18</v>
      </c>
      <c r="K7" s="18">
        <f t="shared" si="0"/>
        <v>5.7706433064214655E-4</v>
      </c>
      <c r="L7">
        <f t="shared" si="1"/>
        <v>150715.81578947368</v>
      </c>
    </row>
    <row r="8" spans="1:12" x14ac:dyDescent="0.3">
      <c r="A8" s="13">
        <v>43967</v>
      </c>
      <c r="B8" s="16" t="s">
        <v>10</v>
      </c>
      <c r="C8">
        <v>38947.5</v>
      </c>
      <c r="D8">
        <v>3395892</v>
      </c>
      <c r="E8">
        <v>21</v>
      </c>
      <c r="F8">
        <v>2145</v>
      </c>
      <c r="G8">
        <v>1947</v>
      </c>
      <c r="I8" t="s">
        <v>45</v>
      </c>
      <c r="J8">
        <v>20</v>
      </c>
      <c r="K8" s="18">
        <f t="shared" si="0"/>
        <v>6.8433014448524509E-4</v>
      </c>
      <c r="L8">
        <f t="shared" si="1"/>
        <v>161709.14285714287</v>
      </c>
    </row>
    <row r="9" spans="1:12" x14ac:dyDescent="0.3">
      <c r="A9" s="13">
        <v>43949</v>
      </c>
      <c r="B9" s="16" t="s">
        <v>10</v>
      </c>
      <c r="C9">
        <v>26940</v>
      </c>
      <c r="D9">
        <v>2411587.5</v>
      </c>
      <c r="E9">
        <v>18</v>
      </c>
      <c r="F9">
        <v>1539</v>
      </c>
      <c r="G9">
        <v>1404</v>
      </c>
      <c r="I9" t="s">
        <v>44</v>
      </c>
      <c r="J9">
        <v>18</v>
      </c>
      <c r="K9" s="18">
        <f t="shared" si="0"/>
        <v>4.8597600345176204E-4</v>
      </c>
      <c r="L9">
        <f t="shared" si="1"/>
        <v>133977.08333333334</v>
      </c>
    </row>
    <row r="10" spans="1:12" x14ac:dyDescent="0.3">
      <c r="A10" s="13">
        <v>43970</v>
      </c>
      <c r="B10" s="16" t="s">
        <v>10</v>
      </c>
      <c r="C10">
        <v>31842</v>
      </c>
      <c r="D10">
        <v>2771116.5</v>
      </c>
      <c r="E10">
        <v>21</v>
      </c>
      <c r="F10">
        <v>1860</v>
      </c>
      <c r="G10">
        <v>1704</v>
      </c>
      <c r="I10" t="s">
        <v>44</v>
      </c>
      <c r="J10">
        <v>21</v>
      </c>
      <c r="K10" s="18">
        <f t="shared" si="0"/>
        <v>5.5842722761219928E-4</v>
      </c>
      <c r="L10">
        <f t="shared" si="1"/>
        <v>131957.92857142858</v>
      </c>
    </row>
    <row r="11" spans="1:12" x14ac:dyDescent="0.3">
      <c r="A11" s="13">
        <v>43949</v>
      </c>
      <c r="B11" s="16" t="s">
        <v>20</v>
      </c>
      <c r="C11">
        <v>25149</v>
      </c>
      <c r="D11">
        <v>2277072</v>
      </c>
      <c r="E11">
        <v>18</v>
      </c>
      <c r="F11">
        <v>1505</v>
      </c>
      <c r="G11">
        <v>1368</v>
      </c>
      <c r="I11" t="s">
        <v>44</v>
      </c>
      <c r="J11">
        <v>18</v>
      </c>
      <c r="K11" s="18">
        <f t="shared" si="0"/>
        <v>4.5886883645395853E-4</v>
      </c>
      <c r="L11">
        <f t="shared" si="1"/>
        <v>126504</v>
      </c>
    </row>
    <row r="12" spans="1:12" x14ac:dyDescent="0.3">
      <c r="A12" s="13">
        <v>43968</v>
      </c>
      <c r="B12" s="16" t="s">
        <v>10</v>
      </c>
      <c r="C12">
        <v>32023.5</v>
      </c>
      <c r="D12">
        <v>2882458.5</v>
      </c>
      <c r="E12">
        <v>21</v>
      </c>
      <c r="F12">
        <v>1874</v>
      </c>
      <c r="G12">
        <v>1705</v>
      </c>
      <c r="I12" t="s">
        <v>43</v>
      </c>
      <c r="J12">
        <v>20</v>
      </c>
      <c r="K12" s="18">
        <f t="shared" si="0"/>
        <v>5.8086453920729009E-4</v>
      </c>
      <c r="L12">
        <f t="shared" si="1"/>
        <v>137259.92857142858</v>
      </c>
    </row>
    <row r="13" spans="1:12" x14ac:dyDescent="0.3">
      <c r="A13" s="13">
        <v>43949</v>
      </c>
      <c r="B13" s="16" t="s">
        <v>22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I13" t="s">
        <v>44</v>
      </c>
      <c r="J13">
        <v>18</v>
      </c>
      <c r="K13" s="18">
        <f t="shared" si="0"/>
        <v>4.0309986893374205E-3</v>
      </c>
      <c r="L13">
        <f t="shared" si="1"/>
        <v>370430.80555555556</v>
      </c>
    </row>
    <row r="14" spans="1:12" x14ac:dyDescent="0.3">
      <c r="A14" s="13">
        <v>43960</v>
      </c>
      <c r="B14" s="16" t="s">
        <v>10</v>
      </c>
      <c r="C14">
        <v>31147.5</v>
      </c>
      <c r="D14">
        <v>2831019</v>
      </c>
      <c r="E14">
        <v>21</v>
      </c>
      <c r="F14">
        <v>1735</v>
      </c>
      <c r="G14">
        <v>1568</v>
      </c>
      <c r="I14" t="s">
        <v>45</v>
      </c>
      <c r="J14">
        <v>19</v>
      </c>
      <c r="K14" s="18">
        <f t="shared" si="0"/>
        <v>5.7049860281495237E-4</v>
      </c>
      <c r="L14">
        <f t="shared" si="1"/>
        <v>134810.42857142858</v>
      </c>
    </row>
    <row r="15" spans="1:12" x14ac:dyDescent="0.3">
      <c r="A15" s="13">
        <v>43949</v>
      </c>
      <c r="B15" s="16" t="s">
        <v>21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I15" t="s">
        <v>44</v>
      </c>
      <c r="J15">
        <v>18</v>
      </c>
      <c r="K15" s="18">
        <f t="shared" si="0"/>
        <v>4.2550120973506474E-3</v>
      </c>
      <c r="L15">
        <f t="shared" si="1"/>
        <v>357879.63559322036</v>
      </c>
    </row>
    <row r="16" spans="1:12" x14ac:dyDescent="0.3">
      <c r="A16" s="13">
        <v>43955</v>
      </c>
      <c r="B16" s="16" t="s">
        <v>10</v>
      </c>
      <c r="C16">
        <v>25566</v>
      </c>
      <c r="D16">
        <v>2372310</v>
      </c>
      <c r="E16">
        <v>20</v>
      </c>
      <c r="F16">
        <v>1519</v>
      </c>
      <c r="G16">
        <v>1372</v>
      </c>
      <c r="I16" t="s">
        <v>47</v>
      </c>
      <c r="J16">
        <v>19</v>
      </c>
      <c r="K16" s="18">
        <f t="shared" si="0"/>
        <v>4.7806091744489868E-4</v>
      </c>
      <c r="L16">
        <f t="shared" si="1"/>
        <v>118615.5</v>
      </c>
    </row>
    <row r="17" spans="1:12" x14ac:dyDescent="0.3">
      <c r="A17" s="13">
        <v>43949</v>
      </c>
      <c r="B17" s="16" t="s">
        <v>13</v>
      </c>
      <c r="C17">
        <v>23314.5</v>
      </c>
      <c r="D17">
        <v>2136817.5</v>
      </c>
      <c r="E17">
        <v>17</v>
      </c>
      <c r="F17">
        <v>1439</v>
      </c>
      <c r="G17">
        <v>1265</v>
      </c>
      <c r="I17" t="s">
        <v>44</v>
      </c>
      <c r="J17">
        <v>18</v>
      </c>
      <c r="K17" s="18">
        <f t="shared" si="0"/>
        <v>4.3060516309517509E-4</v>
      </c>
      <c r="L17">
        <f t="shared" si="1"/>
        <v>125695.14705882352</v>
      </c>
    </row>
    <row r="18" spans="1:12" x14ac:dyDescent="0.3">
      <c r="A18" s="13">
        <v>43950</v>
      </c>
      <c r="B18" s="16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  <c r="I18" t="s">
        <v>48</v>
      </c>
      <c r="J18">
        <v>18</v>
      </c>
      <c r="K18" s="18">
        <f t="shared" si="0"/>
        <v>5.2867605613465417E-4</v>
      </c>
      <c r="L18">
        <f t="shared" si="1"/>
        <v>145748.91666666666</v>
      </c>
    </row>
    <row r="19" spans="1:12" x14ac:dyDescent="0.3">
      <c r="A19" s="13">
        <v>43949</v>
      </c>
      <c r="B19" s="16" t="s">
        <v>23</v>
      </c>
      <c r="C19">
        <v>12541.5</v>
      </c>
      <c r="D19">
        <v>992541</v>
      </c>
      <c r="E19">
        <v>15</v>
      </c>
      <c r="F19">
        <v>636</v>
      </c>
      <c r="G19">
        <v>547</v>
      </c>
      <c r="I19" t="s">
        <v>44</v>
      </c>
      <c r="J19">
        <v>18</v>
      </c>
      <c r="K19" s="18">
        <f t="shared" si="0"/>
        <v>2.00013936231638E-4</v>
      </c>
      <c r="L19">
        <f t="shared" si="1"/>
        <v>66169.399999999994</v>
      </c>
    </row>
    <row r="20" spans="1:12" x14ac:dyDescent="0.3">
      <c r="A20" s="13">
        <v>43953</v>
      </c>
      <c r="B20" s="16" t="s">
        <v>10</v>
      </c>
      <c r="C20">
        <v>29031</v>
      </c>
      <c r="D20">
        <v>2711247</v>
      </c>
      <c r="E20">
        <v>18</v>
      </c>
      <c r="F20">
        <v>1708</v>
      </c>
      <c r="G20">
        <v>1534</v>
      </c>
      <c r="I20" t="s">
        <v>45</v>
      </c>
      <c r="J20">
        <v>18</v>
      </c>
      <c r="K20" s="18">
        <f t="shared" si="0"/>
        <v>5.4636250247215969E-4</v>
      </c>
      <c r="L20">
        <f t="shared" si="1"/>
        <v>150624.83333333334</v>
      </c>
    </row>
    <row r="21" spans="1:12" x14ac:dyDescent="0.3">
      <c r="A21" s="13">
        <v>43949</v>
      </c>
      <c r="B21" s="16" t="s">
        <v>18</v>
      </c>
      <c r="C21">
        <v>13303.5</v>
      </c>
      <c r="D21">
        <v>1102887</v>
      </c>
      <c r="E21">
        <v>15</v>
      </c>
      <c r="F21">
        <v>780</v>
      </c>
      <c r="G21">
        <v>690</v>
      </c>
      <c r="I21" t="s">
        <v>44</v>
      </c>
      <c r="J21">
        <v>18</v>
      </c>
      <c r="K21" s="18">
        <f t="shared" si="0"/>
        <v>2.222505368430146E-4</v>
      </c>
      <c r="L21">
        <f t="shared" si="1"/>
        <v>73525.8</v>
      </c>
    </row>
    <row r="22" spans="1:12" x14ac:dyDescent="0.3">
      <c r="A22" s="13">
        <v>43977</v>
      </c>
      <c r="B22" s="16" t="s">
        <v>10</v>
      </c>
      <c r="C22">
        <v>33423</v>
      </c>
      <c r="D22">
        <v>2970330</v>
      </c>
      <c r="E22">
        <v>20</v>
      </c>
      <c r="F22">
        <v>2044</v>
      </c>
      <c r="G22">
        <v>1863</v>
      </c>
      <c r="I22" t="s">
        <v>44</v>
      </c>
      <c r="J22">
        <v>22</v>
      </c>
      <c r="K22" s="18">
        <f t="shared" si="0"/>
        <v>5.9857214483524743E-4</v>
      </c>
      <c r="L22">
        <f t="shared" si="1"/>
        <v>148516.5</v>
      </c>
    </row>
    <row r="23" spans="1:12" x14ac:dyDescent="0.3">
      <c r="A23" s="13">
        <v>43949</v>
      </c>
      <c r="B23" s="16" t="s">
        <v>15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I23" t="s">
        <v>44</v>
      </c>
      <c r="J23">
        <v>18</v>
      </c>
      <c r="K23" s="18">
        <f t="shared" si="0"/>
        <v>8.0441634218553285E-3</v>
      </c>
      <c r="L23">
        <f t="shared" si="1"/>
        <v>319344.228</v>
      </c>
    </row>
    <row r="24" spans="1:12" x14ac:dyDescent="0.3">
      <c r="A24" s="13">
        <v>43952</v>
      </c>
      <c r="B24" s="16" t="s">
        <v>10</v>
      </c>
      <c r="C24">
        <v>32487</v>
      </c>
      <c r="D24">
        <v>3031254</v>
      </c>
      <c r="E24">
        <v>18</v>
      </c>
      <c r="F24">
        <v>1826</v>
      </c>
      <c r="G24">
        <v>1633</v>
      </c>
      <c r="I24" t="s">
        <v>49</v>
      </c>
      <c r="J24">
        <v>18</v>
      </c>
      <c r="K24" s="18">
        <f t="shared" si="0"/>
        <v>6.1084936970653872E-4</v>
      </c>
      <c r="L24">
        <f t="shared" si="1"/>
        <v>168403</v>
      </c>
    </row>
    <row r="25" spans="1:12" x14ac:dyDescent="0.3">
      <c r="A25" s="13">
        <v>43949</v>
      </c>
      <c r="B25" s="16" t="s">
        <v>14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I25" t="s">
        <v>44</v>
      </c>
      <c r="J25">
        <v>18</v>
      </c>
      <c r="K25" s="18">
        <f t="shared" si="0"/>
        <v>5.8760422662955591E-3</v>
      </c>
      <c r="L25">
        <f t="shared" si="1"/>
        <v>227804.94140625</v>
      </c>
    </row>
    <row r="26" spans="1:12" x14ac:dyDescent="0.3">
      <c r="A26" s="13">
        <v>43963</v>
      </c>
      <c r="B26" s="16" t="s">
        <v>10</v>
      </c>
      <c r="C26">
        <v>28219.5</v>
      </c>
      <c r="D26">
        <v>2595778.5</v>
      </c>
      <c r="E26">
        <v>21</v>
      </c>
      <c r="F26">
        <v>1656</v>
      </c>
      <c r="G26">
        <v>1516</v>
      </c>
      <c r="I26" t="s">
        <v>44</v>
      </c>
      <c r="J26">
        <v>20</v>
      </c>
      <c r="K26" s="18">
        <f t="shared" si="0"/>
        <v>5.2309363076231312E-4</v>
      </c>
      <c r="L26">
        <f t="shared" si="1"/>
        <v>123608.5</v>
      </c>
    </row>
    <row r="27" spans="1:12" x14ac:dyDescent="0.3">
      <c r="A27" s="13">
        <v>43949</v>
      </c>
      <c r="B27" s="16" t="s">
        <v>12</v>
      </c>
      <c r="C27">
        <v>12331.5</v>
      </c>
      <c r="D27">
        <v>869983.5</v>
      </c>
      <c r="E27">
        <v>10</v>
      </c>
      <c r="F27">
        <v>580</v>
      </c>
      <c r="G27">
        <v>506</v>
      </c>
      <c r="I27" t="s">
        <v>44</v>
      </c>
      <c r="J27">
        <v>18</v>
      </c>
      <c r="K27" s="18">
        <f t="shared" si="0"/>
        <v>1.7531651014071685E-4</v>
      </c>
      <c r="L27">
        <f t="shared" si="1"/>
        <v>86998.35</v>
      </c>
    </row>
    <row r="28" spans="1:12" x14ac:dyDescent="0.3">
      <c r="A28" s="13">
        <v>43972</v>
      </c>
      <c r="B28" s="16" t="s">
        <v>10</v>
      </c>
      <c r="C28">
        <v>31272</v>
      </c>
      <c r="D28">
        <v>2744382</v>
      </c>
      <c r="E28">
        <v>21</v>
      </c>
      <c r="F28">
        <v>1787</v>
      </c>
      <c r="G28">
        <v>1626</v>
      </c>
      <c r="I28" t="s">
        <v>46</v>
      </c>
      <c r="J28">
        <v>21</v>
      </c>
      <c r="K28" s="18">
        <f t="shared" si="0"/>
        <v>5.5303976998759264E-4</v>
      </c>
      <c r="L28">
        <f t="shared" si="1"/>
        <v>130684.85714285714</v>
      </c>
    </row>
    <row r="29" spans="1:12" x14ac:dyDescent="0.3">
      <c r="A29" s="13">
        <v>43950</v>
      </c>
      <c r="B29" s="16" t="s">
        <v>16</v>
      </c>
      <c r="C29">
        <v>74707.5</v>
      </c>
      <c r="D29">
        <v>6454458</v>
      </c>
      <c r="E29">
        <v>36</v>
      </c>
      <c r="F29">
        <v>4937</v>
      </c>
      <c r="G29">
        <v>4561</v>
      </c>
      <c r="I29" t="s">
        <v>48</v>
      </c>
      <c r="J29">
        <v>18</v>
      </c>
      <c r="K29" s="18">
        <f t="shared" si="0"/>
        <v>1.3006833479138754E-3</v>
      </c>
      <c r="L29">
        <f t="shared" si="1"/>
        <v>179290.5</v>
      </c>
    </row>
    <row r="30" spans="1:12" x14ac:dyDescent="0.3">
      <c r="A30" s="13">
        <v>43971</v>
      </c>
      <c r="B30" s="16" t="s">
        <v>10</v>
      </c>
      <c r="C30">
        <v>34077</v>
      </c>
      <c r="D30">
        <v>2929330.5</v>
      </c>
      <c r="E30">
        <v>21</v>
      </c>
      <c r="F30">
        <v>1921</v>
      </c>
      <c r="G30">
        <v>1767</v>
      </c>
      <c r="I30" t="s">
        <v>48</v>
      </c>
      <c r="J30">
        <v>21</v>
      </c>
      <c r="K30" s="18">
        <f t="shared" si="0"/>
        <v>5.9031004646497459E-4</v>
      </c>
      <c r="L30">
        <f t="shared" si="1"/>
        <v>139491.92857142858</v>
      </c>
    </row>
    <row r="31" spans="1:12" x14ac:dyDescent="0.3">
      <c r="A31" s="13">
        <v>43950</v>
      </c>
      <c r="B31" s="16" t="s">
        <v>11</v>
      </c>
      <c r="C31">
        <v>79527</v>
      </c>
      <c r="D31">
        <v>7180498.5</v>
      </c>
      <c r="E31">
        <v>31</v>
      </c>
      <c r="F31">
        <v>5378</v>
      </c>
      <c r="G31">
        <v>4985</v>
      </c>
      <c r="I31" t="s">
        <v>48</v>
      </c>
      <c r="J31">
        <v>18</v>
      </c>
      <c r="K31" s="18">
        <f t="shared" si="0"/>
        <v>1.4469928890497947E-3</v>
      </c>
      <c r="L31">
        <f t="shared" si="1"/>
        <v>231628.98387096773</v>
      </c>
    </row>
    <row r="32" spans="1:12" x14ac:dyDescent="0.3">
      <c r="A32" s="13">
        <v>43956</v>
      </c>
      <c r="B32" s="16" t="s">
        <v>10</v>
      </c>
      <c r="C32">
        <v>31566</v>
      </c>
      <c r="D32">
        <v>2906763</v>
      </c>
      <c r="E32">
        <v>20</v>
      </c>
      <c r="F32">
        <v>1773</v>
      </c>
      <c r="G32">
        <v>1604</v>
      </c>
      <c r="I32" t="s">
        <v>44</v>
      </c>
      <c r="J32">
        <v>19</v>
      </c>
      <c r="K32" s="18">
        <f t="shared" si="0"/>
        <v>5.8576231039572657E-4</v>
      </c>
      <c r="L32">
        <f t="shared" si="1"/>
        <v>145338.15</v>
      </c>
    </row>
    <row r="33" spans="1:12" x14ac:dyDescent="0.3">
      <c r="A33" s="13">
        <v>43950</v>
      </c>
      <c r="B33" s="16" t="s">
        <v>17</v>
      </c>
      <c r="C33">
        <v>29142</v>
      </c>
      <c r="D33">
        <v>2627595</v>
      </c>
      <c r="E33">
        <v>19</v>
      </c>
      <c r="F33">
        <v>1676</v>
      </c>
      <c r="G33">
        <v>1516</v>
      </c>
      <c r="I33" t="s">
        <v>48</v>
      </c>
      <c r="J33">
        <v>18</v>
      </c>
      <c r="K33" s="18">
        <f t="shared" si="0"/>
        <v>5.2950519804478694E-4</v>
      </c>
      <c r="L33">
        <f t="shared" si="1"/>
        <v>138294.47368421053</v>
      </c>
    </row>
    <row r="34" spans="1:12" x14ac:dyDescent="0.3">
      <c r="A34" s="13">
        <v>43964</v>
      </c>
      <c r="B34" s="16" t="s">
        <v>10</v>
      </c>
      <c r="C34">
        <v>29241</v>
      </c>
      <c r="D34">
        <v>2629782</v>
      </c>
      <c r="E34">
        <v>21</v>
      </c>
      <c r="F34">
        <v>1698</v>
      </c>
      <c r="G34">
        <v>1554</v>
      </c>
      <c r="I34" t="s">
        <v>48</v>
      </c>
      <c r="J34">
        <v>20</v>
      </c>
      <c r="K34" s="18">
        <f t="shared" si="0"/>
        <v>5.2994591583734019E-4</v>
      </c>
      <c r="L34">
        <f t="shared" si="1"/>
        <v>125227.71428571429</v>
      </c>
    </row>
    <row r="35" spans="1:12" x14ac:dyDescent="0.3">
      <c r="A35" s="13">
        <v>43950</v>
      </c>
      <c r="B35" s="16" t="s">
        <v>20</v>
      </c>
      <c r="C35">
        <v>25816.5</v>
      </c>
      <c r="D35">
        <v>2360914.5</v>
      </c>
      <c r="E35">
        <v>18</v>
      </c>
      <c r="F35">
        <v>1599</v>
      </c>
      <c r="G35">
        <v>1450</v>
      </c>
      <c r="I35" t="s">
        <v>48</v>
      </c>
      <c r="J35">
        <v>18</v>
      </c>
      <c r="K35" s="18">
        <f t="shared" si="0"/>
        <v>4.757645298797224E-4</v>
      </c>
      <c r="L35">
        <f t="shared" si="1"/>
        <v>131161.91666666666</v>
      </c>
    </row>
    <row r="36" spans="1:12" x14ac:dyDescent="0.3">
      <c r="A36" s="13">
        <v>43954</v>
      </c>
      <c r="B36" s="16" t="s">
        <v>10</v>
      </c>
      <c r="C36">
        <v>26082</v>
      </c>
      <c r="D36">
        <v>2434914</v>
      </c>
      <c r="E36">
        <v>20</v>
      </c>
      <c r="F36">
        <v>1520</v>
      </c>
      <c r="G36">
        <v>1373</v>
      </c>
      <c r="I36" t="s">
        <v>43</v>
      </c>
      <c r="J36">
        <v>18</v>
      </c>
      <c r="K36" s="18">
        <f t="shared" si="0"/>
        <v>4.9067669096341875E-4</v>
      </c>
      <c r="L36">
        <f t="shared" si="1"/>
        <v>121745.7</v>
      </c>
    </row>
    <row r="37" spans="1:12" x14ac:dyDescent="0.3">
      <c r="A37" s="13">
        <v>43950</v>
      </c>
      <c r="B37" s="16" t="s">
        <v>22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I37" t="s">
        <v>48</v>
      </c>
      <c r="J37">
        <v>18</v>
      </c>
      <c r="K37" s="18">
        <f t="shared" si="0"/>
        <v>4.205941284588296E-3</v>
      </c>
      <c r="L37">
        <f t="shared" si="1"/>
        <v>386507.25</v>
      </c>
    </row>
    <row r="38" spans="1:12" x14ac:dyDescent="0.3">
      <c r="A38" s="13">
        <v>43957</v>
      </c>
      <c r="B38" s="16" t="s">
        <v>10</v>
      </c>
      <c r="C38">
        <v>32511</v>
      </c>
      <c r="D38">
        <v>2938623</v>
      </c>
      <c r="E38">
        <v>20</v>
      </c>
      <c r="F38">
        <v>1784</v>
      </c>
      <c r="G38">
        <v>1632</v>
      </c>
      <c r="I38" t="s">
        <v>48</v>
      </c>
      <c r="J38">
        <v>19</v>
      </c>
      <c r="K38" s="18">
        <f t="shared" si="0"/>
        <v>5.9218264366995904E-4</v>
      </c>
      <c r="L38">
        <f t="shared" si="1"/>
        <v>146931.15</v>
      </c>
    </row>
    <row r="39" spans="1:12" x14ac:dyDescent="0.3">
      <c r="A39" s="13">
        <v>43950</v>
      </c>
      <c r="B39" s="16" t="s">
        <v>21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I39" t="s">
        <v>48</v>
      </c>
      <c r="J39">
        <v>18</v>
      </c>
      <c r="K39" s="18">
        <f t="shared" si="0"/>
        <v>4.3558581824706694E-3</v>
      </c>
      <c r="L39">
        <f t="shared" si="1"/>
        <v>366361.57627118647</v>
      </c>
    </row>
    <row r="40" spans="1:12" x14ac:dyDescent="0.3">
      <c r="A40" s="13">
        <v>43974</v>
      </c>
      <c r="B40" s="16" t="s">
        <v>10</v>
      </c>
      <c r="C40">
        <v>42703.5</v>
      </c>
      <c r="D40">
        <v>3628726.5</v>
      </c>
      <c r="E40">
        <v>21</v>
      </c>
      <c r="F40">
        <v>2340</v>
      </c>
      <c r="G40">
        <v>2146</v>
      </c>
      <c r="I40" t="s">
        <v>45</v>
      </c>
      <c r="J40">
        <v>21</v>
      </c>
      <c r="K40" s="18">
        <f t="shared" si="0"/>
        <v>7.3125026651096024E-4</v>
      </c>
      <c r="L40">
        <f t="shared" si="1"/>
        <v>172796.5</v>
      </c>
    </row>
    <row r="41" spans="1:12" x14ac:dyDescent="0.3">
      <c r="A41" s="13">
        <v>43950</v>
      </c>
      <c r="B41" s="16" t="s">
        <v>13</v>
      </c>
      <c r="C41">
        <v>25917</v>
      </c>
      <c r="D41">
        <v>2397588</v>
      </c>
      <c r="E41">
        <v>18</v>
      </c>
      <c r="F41">
        <v>1534</v>
      </c>
      <c r="G41">
        <v>1369</v>
      </c>
      <c r="I41" t="s">
        <v>48</v>
      </c>
      <c r="J41">
        <v>18</v>
      </c>
      <c r="K41" s="18">
        <f t="shared" si="0"/>
        <v>4.8315486548338105E-4</v>
      </c>
      <c r="L41">
        <f t="shared" si="1"/>
        <v>133199.33333333334</v>
      </c>
    </row>
    <row r="42" spans="1:12" x14ac:dyDescent="0.3">
      <c r="A42" s="13">
        <v>43976</v>
      </c>
      <c r="B42" s="16" t="s">
        <v>10</v>
      </c>
      <c r="C42">
        <v>35592</v>
      </c>
      <c r="D42">
        <v>3176580</v>
      </c>
      <c r="E42">
        <v>20</v>
      </c>
      <c r="F42">
        <v>2087</v>
      </c>
      <c r="G42">
        <v>1914</v>
      </c>
      <c r="I42" t="s">
        <v>47</v>
      </c>
      <c r="J42">
        <v>22</v>
      </c>
      <c r="K42" s="18">
        <f t="shared" si="0"/>
        <v>6.4013503679414424E-4</v>
      </c>
      <c r="L42">
        <f t="shared" si="1"/>
        <v>158829</v>
      </c>
    </row>
    <row r="43" spans="1:12" x14ac:dyDescent="0.3">
      <c r="A43" s="13">
        <v>43950</v>
      </c>
      <c r="B43" s="16" t="s">
        <v>23</v>
      </c>
      <c r="C43">
        <v>12250.5</v>
      </c>
      <c r="D43">
        <v>981519</v>
      </c>
      <c r="E43">
        <v>15</v>
      </c>
      <c r="F43">
        <v>659</v>
      </c>
      <c r="G43">
        <v>575</v>
      </c>
      <c r="I43" t="s">
        <v>48</v>
      </c>
      <c r="J43">
        <v>18</v>
      </c>
      <c r="K43" s="18">
        <f t="shared" si="0"/>
        <v>1.9779281528535457E-4</v>
      </c>
      <c r="L43">
        <f t="shared" si="1"/>
        <v>65434.6</v>
      </c>
    </row>
    <row r="44" spans="1:12" x14ac:dyDescent="0.3">
      <c r="A44" s="13">
        <v>43951</v>
      </c>
      <c r="B44" s="16" t="s">
        <v>10</v>
      </c>
      <c r="C44">
        <v>30445.5</v>
      </c>
      <c r="D44">
        <v>2817196.5</v>
      </c>
      <c r="E44">
        <v>19</v>
      </c>
      <c r="F44">
        <v>1712</v>
      </c>
      <c r="G44">
        <v>1552</v>
      </c>
      <c r="I44" t="s">
        <v>46</v>
      </c>
      <c r="J44">
        <v>18</v>
      </c>
      <c r="K44" s="18">
        <f t="shared" si="0"/>
        <v>5.6771313336476158E-4</v>
      </c>
      <c r="L44">
        <f t="shared" si="1"/>
        <v>148273.5</v>
      </c>
    </row>
    <row r="45" spans="1:12" x14ac:dyDescent="0.3">
      <c r="A45" s="13">
        <v>43950</v>
      </c>
      <c r="B45" s="16" t="s">
        <v>18</v>
      </c>
      <c r="C45">
        <v>13014</v>
      </c>
      <c r="D45">
        <v>1115992.5</v>
      </c>
      <c r="E45">
        <v>15</v>
      </c>
      <c r="F45">
        <v>786</v>
      </c>
      <c r="G45">
        <v>695</v>
      </c>
      <c r="I45" t="s">
        <v>48</v>
      </c>
      <c r="J45">
        <v>18</v>
      </c>
      <c r="K45" s="18">
        <f t="shared" si="0"/>
        <v>2.2489151856697738E-4</v>
      </c>
      <c r="L45">
        <f t="shared" si="1"/>
        <v>74399.5</v>
      </c>
    </row>
    <row r="46" spans="1:12" x14ac:dyDescent="0.3">
      <c r="A46" s="13">
        <v>43961</v>
      </c>
      <c r="B46" s="16" t="s">
        <v>10</v>
      </c>
      <c r="C46">
        <v>36619.5</v>
      </c>
      <c r="D46">
        <v>3312967.5</v>
      </c>
      <c r="E46">
        <v>21</v>
      </c>
      <c r="F46">
        <v>2016</v>
      </c>
      <c r="G46">
        <v>1846</v>
      </c>
      <c r="I46" t="s">
        <v>43</v>
      </c>
      <c r="J46">
        <v>19</v>
      </c>
      <c r="K46" s="18">
        <f t="shared" si="0"/>
        <v>6.6761944371314559E-4</v>
      </c>
      <c r="L46">
        <f t="shared" si="1"/>
        <v>157760.35714285713</v>
      </c>
    </row>
    <row r="47" spans="1:12" x14ac:dyDescent="0.3">
      <c r="A47" s="13">
        <v>43950</v>
      </c>
      <c r="B47" s="16" t="s">
        <v>15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I47" t="s">
        <v>48</v>
      </c>
      <c r="J47">
        <v>18</v>
      </c>
      <c r="K47" s="18">
        <f t="shared" si="0"/>
        <v>8.3749245433711629E-3</v>
      </c>
      <c r="L47">
        <f t="shared" si="1"/>
        <v>332475.07199999999</v>
      </c>
    </row>
    <row r="48" spans="1:12" x14ac:dyDescent="0.3">
      <c r="A48" s="13">
        <v>43959</v>
      </c>
      <c r="B48" s="16" t="s">
        <v>10</v>
      </c>
      <c r="C48">
        <v>29409</v>
      </c>
      <c r="D48">
        <v>2645160</v>
      </c>
      <c r="E48">
        <v>21</v>
      </c>
      <c r="F48">
        <v>1646</v>
      </c>
      <c r="G48">
        <v>1492</v>
      </c>
      <c r="I48" t="s">
        <v>49</v>
      </c>
      <c r="J48">
        <v>19</v>
      </c>
      <c r="K48" s="18">
        <f t="shared" si="0"/>
        <v>5.3304484506179559E-4</v>
      </c>
      <c r="L48">
        <f t="shared" si="1"/>
        <v>125960</v>
      </c>
    </row>
    <row r="49" spans="1:12" x14ac:dyDescent="0.3">
      <c r="A49" s="13">
        <v>43950</v>
      </c>
      <c r="B49" s="16" t="s">
        <v>14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I49" t="s">
        <v>48</v>
      </c>
      <c r="J49">
        <v>18</v>
      </c>
      <c r="K49" s="18">
        <f t="shared" si="0"/>
        <v>6.2206878119302885E-3</v>
      </c>
      <c r="L49">
        <f t="shared" si="1"/>
        <v>241166.30859375</v>
      </c>
    </row>
    <row r="50" spans="1:12" x14ac:dyDescent="0.3">
      <c r="A50" s="13">
        <v>43958</v>
      </c>
      <c r="B50" s="16" t="s">
        <v>10</v>
      </c>
      <c r="C50">
        <v>27018</v>
      </c>
      <c r="D50">
        <v>2472213</v>
      </c>
      <c r="E50">
        <v>21</v>
      </c>
      <c r="F50">
        <v>1542</v>
      </c>
      <c r="G50">
        <v>1405</v>
      </c>
      <c r="I50" t="s">
        <v>46</v>
      </c>
      <c r="J50">
        <v>19</v>
      </c>
      <c r="K50" s="18">
        <f t="shared" si="0"/>
        <v>4.9819307548305467E-4</v>
      </c>
      <c r="L50">
        <f t="shared" si="1"/>
        <v>117724.42857142857</v>
      </c>
    </row>
    <row r="51" spans="1:12" x14ac:dyDescent="0.3">
      <c r="A51" s="13">
        <v>43950</v>
      </c>
      <c r="B51" s="16" t="s">
        <v>12</v>
      </c>
      <c r="C51">
        <v>10840.5</v>
      </c>
      <c r="D51">
        <v>797919</v>
      </c>
      <c r="E51">
        <v>10</v>
      </c>
      <c r="F51">
        <v>502</v>
      </c>
      <c r="G51">
        <v>433</v>
      </c>
      <c r="I51" t="s">
        <v>48</v>
      </c>
      <c r="J51">
        <v>18</v>
      </c>
      <c r="K51" s="18">
        <f t="shared" si="0"/>
        <v>1.6079428455248939E-4</v>
      </c>
      <c r="L51">
        <f t="shared" si="1"/>
        <v>79791.899999999994</v>
      </c>
    </row>
    <row r="52" spans="1:12" x14ac:dyDescent="0.3">
      <c r="A52" s="13">
        <v>43975</v>
      </c>
      <c r="B52" s="16" t="s">
        <v>10</v>
      </c>
      <c r="C52">
        <v>34303.5</v>
      </c>
      <c r="D52">
        <v>2924746.5</v>
      </c>
      <c r="E52">
        <v>20</v>
      </c>
      <c r="F52">
        <v>1999</v>
      </c>
      <c r="G52">
        <v>1829</v>
      </c>
      <c r="I52" t="s">
        <v>43</v>
      </c>
      <c r="J52">
        <v>21</v>
      </c>
      <c r="K52" s="18">
        <f t="shared" si="0"/>
        <v>5.8938629229896445E-4</v>
      </c>
      <c r="L52">
        <f t="shared" si="1"/>
        <v>146237.32500000001</v>
      </c>
    </row>
    <row r="53" spans="1:12" x14ac:dyDescent="0.3">
      <c r="A53" s="13">
        <v>43951</v>
      </c>
      <c r="B53" s="16" t="s">
        <v>16</v>
      </c>
      <c r="C53">
        <v>78235.5</v>
      </c>
      <c r="D53">
        <v>6819594</v>
      </c>
      <c r="E53">
        <v>36</v>
      </c>
      <c r="F53">
        <v>5143</v>
      </c>
      <c r="G53">
        <v>4715</v>
      </c>
      <c r="I53" t="s">
        <v>46</v>
      </c>
      <c r="J53">
        <v>18</v>
      </c>
      <c r="K53" s="18">
        <f t="shared" si="0"/>
        <v>1.3742644781844389E-3</v>
      </c>
      <c r="L53">
        <f t="shared" si="1"/>
        <v>189433.16666666666</v>
      </c>
    </row>
    <row r="54" spans="1:12" x14ac:dyDescent="0.3">
      <c r="A54" s="13">
        <v>43982</v>
      </c>
      <c r="B54" s="16" t="s">
        <v>10</v>
      </c>
      <c r="C54">
        <v>36999</v>
      </c>
      <c r="D54">
        <v>3473895</v>
      </c>
      <c r="E54">
        <v>21</v>
      </c>
      <c r="F54">
        <v>2271</v>
      </c>
      <c r="G54">
        <v>2085</v>
      </c>
      <c r="I54" t="s">
        <v>43</v>
      </c>
      <c r="J54">
        <v>22</v>
      </c>
      <c r="K54" s="18">
        <f t="shared" si="0"/>
        <v>7.0004907908631096E-4</v>
      </c>
      <c r="L54">
        <f t="shared" si="1"/>
        <v>165423.57142857142</v>
      </c>
    </row>
    <row r="55" spans="1:12" x14ac:dyDescent="0.3">
      <c r="A55" s="13">
        <v>43951</v>
      </c>
      <c r="B55" s="16" t="s">
        <v>11</v>
      </c>
      <c r="C55">
        <v>77565</v>
      </c>
      <c r="D55">
        <v>7023727.5</v>
      </c>
      <c r="E55">
        <v>31</v>
      </c>
      <c r="F55">
        <v>5120</v>
      </c>
      <c r="G55">
        <v>4737</v>
      </c>
      <c r="I55" t="s">
        <v>46</v>
      </c>
      <c r="J55">
        <v>18</v>
      </c>
      <c r="K55" s="18">
        <f t="shared" si="0"/>
        <v>1.4154008593029429E-3</v>
      </c>
      <c r="L55">
        <f t="shared" si="1"/>
        <v>226571.85483870967</v>
      </c>
    </row>
    <row r="56" spans="1:12" x14ac:dyDescent="0.3">
      <c r="A56" s="13">
        <v>43981</v>
      </c>
      <c r="B56" s="16" t="s">
        <v>10</v>
      </c>
      <c r="C56">
        <v>44001</v>
      </c>
      <c r="D56">
        <v>3921784.5</v>
      </c>
      <c r="E56">
        <v>20</v>
      </c>
      <c r="F56">
        <v>2597</v>
      </c>
      <c r="G56">
        <v>2376</v>
      </c>
      <c r="I56" t="s">
        <v>45</v>
      </c>
      <c r="J56">
        <v>22</v>
      </c>
      <c r="K56" s="18">
        <f t="shared" si="0"/>
        <v>7.9030645071309538E-4</v>
      </c>
      <c r="L56">
        <f t="shared" si="1"/>
        <v>196089.22500000001</v>
      </c>
    </row>
    <row r="57" spans="1:12" x14ac:dyDescent="0.3">
      <c r="A57" s="13">
        <v>43951</v>
      </c>
      <c r="B57" s="16" t="s">
        <v>17</v>
      </c>
      <c r="C57">
        <v>31231.5</v>
      </c>
      <c r="D57">
        <v>2853310.5</v>
      </c>
      <c r="E57">
        <v>20</v>
      </c>
      <c r="F57">
        <v>1756</v>
      </c>
      <c r="G57">
        <v>1586</v>
      </c>
      <c r="I57" t="s">
        <v>46</v>
      </c>
      <c r="J57">
        <v>18</v>
      </c>
      <c r="K57" s="18">
        <f t="shared" si="0"/>
        <v>5.7499072017786986E-4</v>
      </c>
      <c r="L57">
        <f t="shared" si="1"/>
        <v>142665.52499999999</v>
      </c>
    </row>
    <row r="58" spans="1:12" x14ac:dyDescent="0.3">
      <c r="A58" s="13">
        <v>43979</v>
      </c>
      <c r="B58" s="16" t="s">
        <v>10</v>
      </c>
      <c r="C58">
        <v>30982.5</v>
      </c>
      <c r="D58">
        <v>2827773</v>
      </c>
      <c r="E58">
        <v>20</v>
      </c>
      <c r="F58">
        <v>1886</v>
      </c>
      <c r="G58">
        <v>1736</v>
      </c>
      <c r="I58" t="s">
        <v>46</v>
      </c>
      <c r="J58">
        <v>22</v>
      </c>
      <c r="K58" s="18">
        <f t="shared" si="0"/>
        <v>5.6984447846441383E-4</v>
      </c>
      <c r="L58">
        <f t="shared" si="1"/>
        <v>141388.65</v>
      </c>
    </row>
    <row r="59" spans="1:12" x14ac:dyDescent="0.3">
      <c r="A59" s="13">
        <v>43967</v>
      </c>
      <c r="B59" s="16" t="s">
        <v>11</v>
      </c>
      <c r="C59">
        <v>88063.5</v>
      </c>
      <c r="D59">
        <v>7583758.5</v>
      </c>
      <c r="E59">
        <v>31</v>
      </c>
      <c r="F59">
        <v>5593</v>
      </c>
      <c r="G59">
        <v>5177</v>
      </c>
      <c r="I59" t="s">
        <v>45</v>
      </c>
      <c r="J59">
        <v>20</v>
      </c>
      <c r="K59" s="18">
        <f t="shared" si="0"/>
        <v>1.5282566554078298E-3</v>
      </c>
      <c r="L59">
        <f t="shared" si="1"/>
        <v>244637.37096774194</v>
      </c>
    </row>
    <row r="60" spans="1:12" x14ac:dyDescent="0.3">
      <c r="A60" s="13">
        <v>43951</v>
      </c>
      <c r="B60" s="16" t="s">
        <v>20</v>
      </c>
      <c r="C60">
        <v>27883.5</v>
      </c>
      <c r="D60">
        <v>2560080</v>
      </c>
      <c r="E60">
        <v>19</v>
      </c>
      <c r="F60">
        <v>1662</v>
      </c>
      <c r="G60">
        <v>1506</v>
      </c>
      <c r="I60" t="s">
        <v>46</v>
      </c>
      <c r="J60">
        <v>18</v>
      </c>
      <c r="K60" s="18">
        <f t="shared" si="0"/>
        <v>5.158997742842783E-4</v>
      </c>
      <c r="L60">
        <f t="shared" si="1"/>
        <v>134741.05263157896</v>
      </c>
    </row>
    <row r="61" spans="1:12" x14ac:dyDescent="0.3">
      <c r="A61" s="13">
        <v>43970</v>
      </c>
      <c r="B61" s="16" t="s">
        <v>11</v>
      </c>
      <c r="C61">
        <v>84024</v>
      </c>
      <c r="D61">
        <v>6815511</v>
      </c>
      <c r="E61">
        <v>31</v>
      </c>
      <c r="F61">
        <v>5389</v>
      </c>
      <c r="G61">
        <v>5024</v>
      </c>
      <c r="I61" t="s">
        <v>44</v>
      </c>
      <c r="J61">
        <v>21</v>
      </c>
      <c r="K61" s="18">
        <f t="shared" si="0"/>
        <v>1.3734416840614418E-3</v>
      </c>
      <c r="L61">
        <f t="shared" si="1"/>
        <v>219855.19354838709</v>
      </c>
    </row>
    <row r="62" spans="1:12" x14ac:dyDescent="0.3">
      <c r="A62" s="13">
        <v>43951</v>
      </c>
      <c r="B62" s="16" t="s">
        <v>22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I62" t="s">
        <v>46</v>
      </c>
      <c r="J62">
        <v>18</v>
      </c>
      <c r="K62" s="18">
        <f t="shared" si="0"/>
        <v>4.3810734066265043E-3</v>
      </c>
      <c r="L62">
        <f t="shared" si="1"/>
        <v>402601.11111111112</v>
      </c>
    </row>
    <row r="63" spans="1:12" x14ac:dyDescent="0.3">
      <c r="A63" s="13">
        <v>43968</v>
      </c>
      <c r="B63" s="16" t="s">
        <v>11</v>
      </c>
      <c r="C63">
        <v>78057</v>
      </c>
      <c r="D63">
        <v>6774946.5</v>
      </c>
      <c r="E63">
        <v>31</v>
      </c>
      <c r="F63">
        <v>5206</v>
      </c>
      <c r="G63">
        <v>4843</v>
      </c>
      <c r="I63" t="s">
        <v>43</v>
      </c>
      <c r="J63">
        <v>20</v>
      </c>
      <c r="K63" s="18">
        <f t="shared" si="0"/>
        <v>1.3652672456087548E-3</v>
      </c>
      <c r="L63">
        <f t="shared" si="1"/>
        <v>218546.66129032258</v>
      </c>
    </row>
    <row r="64" spans="1:12" x14ac:dyDescent="0.3">
      <c r="A64" s="13">
        <v>43951</v>
      </c>
      <c r="B64" s="16" t="s">
        <v>21</v>
      </c>
      <c r="C64">
        <v>214386</v>
      </c>
      <c r="D64">
        <v>22530000</v>
      </c>
      <c r="E64">
        <v>59</v>
      </c>
      <c r="F64">
        <v>13251</v>
      </c>
      <c r="G64">
        <v>12255</v>
      </c>
      <c r="I64" t="s">
        <v>46</v>
      </c>
      <c r="J64">
        <v>18</v>
      </c>
      <c r="K64" s="18">
        <f t="shared" si="0"/>
        <v>4.5401791798009399E-3</v>
      </c>
      <c r="L64">
        <f t="shared" si="1"/>
        <v>381864.40677966102</v>
      </c>
    </row>
    <row r="65" spans="1:12" x14ac:dyDescent="0.3">
      <c r="A65" s="13">
        <v>43960</v>
      </c>
      <c r="B65" s="16" t="s">
        <v>11</v>
      </c>
      <c r="C65">
        <v>69720</v>
      </c>
      <c r="D65">
        <v>6264933</v>
      </c>
      <c r="E65">
        <v>31</v>
      </c>
      <c r="F65">
        <v>4556</v>
      </c>
      <c r="G65">
        <v>4220</v>
      </c>
      <c r="I65" t="s">
        <v>45</v>
      </c>
      <c r="J65">
        <v>19</v>
      </c>
      <c r="K65" s="18">
        <f t="shared" si="0"/>
        <v>1.2624908286483728E-3</v>
      </c>
      <c r="L65">
        <f t="shared" si="1"/>
        <v>202094.61290322582</v>
      </c>
    </row>
    <row r="66" spans="1:12" x14ac:dyDescent="0.3">
      <c r="A66" s="13">
        <v>43951</v>
      </c>
      <c r="B66" s="16" t="s">
        <v>13</v>
      </c>
      <c r="C66">
        <v>24211.5</v>
      </c>
      <c r="D66">
        <v>2267664</v>
      </c>
      <c r="E66">
        <v>19</v>
      </c>
      <c r="F66">
        <v>1499</v>
      </c>
      <c r="G66">
        <v>1322</v>
      </c>
      <c r="I66" t="s">
        <v>46</v>
      </c>
      <c r="J66">
        <v>18</v>
      </c>
      <c r="K66" s="18">
        <f t="shared" ref="K66:K129" si="2" xml:space="preserve"> D66/SUM($D$2:$D$505)</f>
        <v>4.5697296402947706E-4</v>
      </c>
      <c r="L66">
        <f t="shared" ref="L66:L129" si="3">D66/E66</f>
        <v>119350.73684210527</v>
      </c>
    </row>
    <row r="67" spans="1:12" x14ac:dyDescent="0.3">
      <c r="A67" s="13">
        <v>43955</v>
      </c>
      <c r="B67" s="16" t="s">
        <v>11</v>
      </c>
      <c r="C67">
        <v>72928.5</v>
      </c>
      <c r="D67">
        <v>6642249</v>
      </c>
      <c r="E67">
        <v>31</v>
      </c>
      <c r="F67">
        <v>4968</v>
      </c>
      <c r="G67">
        <v>4596</v>
      </c>
      <c r="I67" t="s">
        <v>47</v>
      </c>
      <c r="J67">
        <v>19</v>
      </c>
      <c r="K67" s="18">
        <f t="shared" si="2"/>
        <v>1.3385264366113454E-3</v>
      </c>
      <c r="L67">
        <f t="shared" si="3"/>
        <v>214266.09677419355</v>
      </c>
    </row>
    <row r="68" spans="1:12" x14ac:dyDescent="0.3">
      <c r="A68" s="13">
        <v>43951</v>
      </c>
      <c r="B68" s="16" t="s">
        <v>23</v>
      </c>
      <c r="C68">
        <v>11976</v>
      </c>
      <c r="D68">
        <v>1004511</v>
      </c>
      <c r="E68">
        <v>15</v>
      </c>
      <c r="F68">
        <v>644</v>
      </c>
      <c r="G68">
        <v>550</v>
      </c>
      <c r="I68" t="s">
        <v>46</v>
      </c>
      <c r="J68">
        <v>18</v>
      </c>
      <c r="K68" s="18">
        <f t="shared" si="2"/>
        <v>2.0242609534314344E-4</v>
      </c>
      <c r="L68">
        <f t="shared" si="3"/>
        <v>66967.399999999994</v>
      </c>
    </row>
    <row r="69" spans="1:12" x14ac:dyDescent="0.3">
      <c r="A69" s="13">
        <v>43951</v>
      </c>
      <c r="B69" s="16" t="s">
        <v>18</v>
      </c>
      <c r="C69">
        <v>12753</v>
      </c>
      <c r="D69">
        <v>1103068.5</v>
      </c>
      <c r="E69">
        <v>15</v>
      </c>
      <c r="F69">
        <v>791</v>
      </c>
      <c r="G69">
        <v>691</v>
      </c>
      <c r="I69" t="s">
        <v>46</v>
      </c>
      <c r="J69">
        <v>18</v>
      </c>
      <c r="K69" s="18">
        <f t="shared" si="2"/>
        <v>2.2228711218793843E-4</v>
      </c>
      <c r="L69">
        <f t="shared" si="3"/>
        <v>73537.899999999994</v>
      </c>
    </row>
    <row r="70" spans="1:12" x14ac:dyDescent="0.3">
      <c r="A70" s="13">
        <v>43953</v>
      </c>
      <c r="B70" s="16" t="s">
        <v>11</v>
      </c>
      <c r="C70">
        <v>60463.5</v>
      </c>
      <c r="D70">
        <v>5554192.5</v>
      </c>
      <c r="E70">
        <v>31</v>
      </c>
      <c r="F70">
        <v>4157</v>
      </c>
      <c r="G70">
        <v>3823</v>
      </c>
      <c r="I70" t="s">
        <v>45</v>
      </c>
      <c r="J70">
        <v>18</v>
      </c>
      <c r="K70" s="18">
        <f t="shared" si="2"/>
        <v>1.119264498406859E-3</v>
      </c>
      <c r="L70">
        <f t="shared" si="3"/>
        <v>179167.5</v>
      </c>
    </row>
    <row r="71" spans="1:12" x14ac:dyDescent="0.3">
      <c r="A71" s="13">
        <v>43951</v>
      </c>
      <c r="B71" s="16" t="s">
        <v>19</v>
      </c>
      <c r="C71">
        <v>4285.5</v>
      </c>
      <c r="D71">
        <v>404691</v>
      </c>
      <c r="E71">
        <v>15</v>
      </c>
      <c r="F71">
        <v>262</v>
      </c>
      <c r="G71">
        <v>195</v>
      </c>
      <c r="I71" t="s">
        <v>46</v>
      </c>
      <c r="J71">
        <v>18</v>
      </c>
      <c r="K71" s="18">
        <f t="shared" si="2"/>
        <v>8.1552137259335199E-5</v>
      </c>
      <c r="L71">
        <f t="shared" si="3"/>
        <v>26979.4</v>
      </c>
    </row>
    <row r="72" spans="1:12" x14ac:dyDescent="0.3">
      <c r="A72" s="13">
        <v>43977</v>
      </c>
      <c r="B72" s="16" t="s">
        <v>11</v>
      </c>
      <c r="C72">
        <v>79975.5</v>
      </c>
      <c r="D72">
        <v>6676459.5</v>
      </c>
      <c r="E72">
        <v>31</v>
      </c>
      <c r="F72">
        <v>5493</v>
      </c>
      <c r="G72">
        <v>5119</v>
      </c>
      <c r="I72" t="s">
        <v>44</v>
      </c>
      <c r="J72">
        <v>22</v>
      </c>
      <c r="K72" s="18">
        <f t="shared" si="2"/>
        <v>1.3454204357161205E-3</v>
      </c>
      <c r="L72">
        <f t="shared" si="3"/>
        <v>215369.66129032258</v>
      </c>
    </row>
    <row r="73" spans="1:12" x14ac:dyDescent="0.3">
      <c r="A73" s="13">
        <v>43951</v>
      </c>
      <c r="B73" s="16" t="s">
        <v>15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I73" t="s">
        <v>46</v>
      </c>
      <c r="J73">
        <v>18</v>
      </c>
      <c r="K73" s="18">
        <f t="shared" si="2"/>
        <v>8.6710237243711671E-3</v>
      </c>
      <c r="L73">
        <f t="shared" si="3"/>
        <v>344229.87599999999</v>
      </c>
    </row>
    <row r="74" spans="1:12" x14ac:dyDescent="0.3">
      <c r="A74" s="13">
        <v>43952</v>
      </c>
      <c r="B74" s="16" t="s">
        <v>11</v>
      </c>
      <c r="C74">
        <v>97534.5</v>
      </c>
      <c r="D74">
        <v>8893024.5</v>
      </c>
      <c r="E74">
        <v>31</v>
      </c>
      <c r="F74">
        <v>6118</v>
      </c>
      <c r="G74">
        <v>5564</v>
      </c>
      <c r="I74" t="s">
        <v>49</v>
      </c>
      <c r="J74">
        <v>18</v>
      </c>
      <c r="K74" s="18">
        <f t="shared" si="2"/>
        <v>1.7920960799094391E-3</v>
      </c>
      <c r="L74">
        <f t="shared" si="3"/>
        <v>286871.75806451612</v>
      </c>
    </row>
    <row r="75" spans="1:12" x14ac:dyDescent="0.3">
      <c r="A75" s="13">
        <v>43951</v>
      </c>
      <c r="B75" s="16" t="s">
        <v>14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I75" t="s">
        <v>46</v>
      </c>
      <c r="J75">
        <v>18</v>
      </c>
      <c r="K75" s="18">
        <f t="shared" si="2"/>
        <v>6.5329569226935599E-3</v>
      </c>
      <c r="L75">
        <f t="shared" si="3"/>
        <v>251309.13953488372</v>
      </c>
    </row>
    <row r="76" spans="1:12" x14ac:dyDescent="0.3">
      <c r="A76" s="13">
        <v>43963</v>
      </c>
      <c r="B76" s="16" t="s">
        <v>11</v>
      </c>
      <c r="C76">
        <v>71520</v>
      </c>
      <c r="D76">
        <v>6398361</v>
      </c>
      <c r="E76">
        <v>31</v>
      </c>
      <c r="F76">
        <v>4800</v>
      </c>
      <c r="G76">
        <v>4470</v>
      </c>
      <c r="I76" t="s">
        <v>44</v>
      </c>
      <c r="J76">
        <v>20</v>
      </c>
      <c r="K76" s="18">
        <f t="shared" si="2"/>
        <v>1.2893788458522113E-3</v>
      </c>
      <c r="L76">
        <f t="shared" si="3"/>
        <v>206398.74193548388</v>
      </c>
    </row>
    <row r="77" spans="1:12" x14ac:dyDescent="0.3">
      <c r="A77" s="13">
        <v>43951</v>
      </c>
      <c r="B77" s="16" t="s">
        <v>12</v>
      </c>
      <c r="C77">
        <v>8934</v>
      </c>
      <c r="D77">
        <v>716196</v>
      </c>
      <c r="E77">
        <v>10</v>
      </c>
      <c r="F77">
        <v>448</v>
      </c>
      <c r="G77">
        <v>376</v>
      </c>
      <c r="I77" t="s">
        <v>46</v>
      </c>
      <c r="J77">
        <v>18</v>
      </c>
      <c r="K77" s="18">
        <f t="shared" si="2"/>
        <v>1.4432570651827403E-4</v>
      </c>
      <c r="L77">
        <f t="shared" si="3"/>
        <v>71619.600000000006</v>
      </c>
    </row>
    <row r="78" spans="1:12" x14ac:dyDescent="0.3">
      <c r="A78" s="13">
        <v>43972</v>
      </c>
      <c r="B78" s="16" t="s">
        <v>11</v>
      </c>
      <c r="C78">
        <v>79485</v>
      </c>
      <c r="D78">
        <v>6633847.5</v>
      </c>
      <c r="E78">
        <v>31</v>
      </c>
      <c r="F78">
        <v>5207</v>
      </c>
      <c r="G78">
        <v>4868</v>
      </c>
      <c r="I78" t="s">
        <v>46</v>
      </c>
      <c r="J78">
        <v>21</v>
      </c>
      <c r="K78" s="18">
        <f t="shared" si="2"/>
        <v>1.3368333910996233E-3</v>
      </c>
      <c r="L78">
        <f t="shared" si="3"/>
        <v>213995.0806451613</v>
      </c>
    </row>
    <row r="79" spans="1:12" x14ac:dyDescent="0.3">
      <c r="A79" s="13">
        <v>43952</v>
      </c>
      <c r="B79" s="16" t="s">
        <v>16</v>
      </c>
      <c r="C79">
        <v>82228.5</v>
      </c>
      <c r="D79">
        <v>7032225</v>
      </c>
      <c r="E79">
        <v>36</v>
      </c>
      <c r="F79">
        <v>5457</v>
      </c>
      <c r="G79">
        <v>4916</v>
      </c>
      <c r="I79" t="s">
        <v>49</v>
      </c>
      <c r="J79">
        <v>18</v>
      </c>
      <c r="K79" s="18">
        <f t="shared" si="2"/>
        <v>1.4171132504516494E-3</v>
      </c>
      <c r="L79">
        <f t="shared" si="3"/>
        <v>195339.58333333334</v>
      </c>
    </row>
    <row r="80" spans="1:12" x14ac:dyDescent="0.3">
      <c r="A80" s="13">
        <v>43971</v>
      </c>
      <c r="B80" s="16" t="s">
        <v>11</v>
      </c>
      <c r="C80">
        <v>93313.5</v>
      </c>
      <c r="D80">
        <v>7247575.5</v>
      </c>
      <c r="E80">
        <v>31</v>
      </c>
      <c r="F80">
        <v>5698</v>
      </c>
      <c r="G80">
        <v>5258</v>
      </c>
      <c r="I80" t="s">
        <v>48</v>
      </c>
      <c r="J80">
        <v>21</v>
      </c>
      <c r="K80" s="18">
        <f t="shared" si="2"/>
        <v>1.4605100483415618E-3</v>
      </c>
      <c r="L80">
        <f t="shared" si="3"/>
        <v>233792.75806451612</v>
      </c>
    </row>
    <row r="81" spans="1:12" x14ac:dyDescent="0.3">
      <c r="A81" s="13">
        <v>43956</v>
      </c>
      <c r="B81" s="16" t="s">
        <v>11</v>
      </c>
      <c r="C81">
        <v>76585.5</v>
      </c>
      <c r="D81">
        <v>6921316.5</v>
      </c>
      <c r="E81">
        <v>31</v>
      </c>
      <c r="F81">
        <v>5188</v>
      </c>
      <c r="G81">
        <v>4800</v>
      </c>
      <c r="I81" t="s">
        <v>44</v>
      </c>
      <c r="J81">
        <v>19</v>
      </c>
      <c r="K81" s="18">
        <f t="shared" si="2"/>
        <v>1.3947632964985668E-3</v>
      </c>
      <c r="L81">
        <f t="shared" si="3"/>
        <v>223268.27419354839</v>
      </c>
    </row>
    <row r="82" spans="1:12" x14ac:dyDescent="0.3">
      <c r="A82" s="13">
        <v>43952</v>
      </c>
      <c r="B82" s="16" t="s">
        <v>17</v>
      </c>
      <c r="C82">
        <v>46620</v>
      </c>
      <c r="D82">
        <v>4293241.5</v>
      </c>
      <c r="E82">
        <v>20</v>
      </c>
      <c r="F82">
        <v>2468</v>
      </c>
      <c r="G82">
        <v>2221</v>
      </c>
      <c r="I82" t="s">
        <v>49</v>
      </c>
      <c r="J82">
        <v>18</v>
      </c>
      <c r="K82" s="18">
        <f t="shared" si="2"/>
        <v>8.6516137026885738E-4</v>
      </c>
      <c r="L82">
        <f t="shared" si="3"/>
        <v>214662.07500000001</v>
      </c>
    </row>
    <row r="83" spans="1:12" x14ac:dyDescent="0.3">
      <c r="A83" s="13">
        <v>43964</v>
      </c>
      <c r="B83" s="16" t="s">
        <v>11</v>
      </c>
      <c r="C83">
        <v>78846</v>
      </c>
      <c r="D83">
        <v>6993952.5</v>
      </c>
      <c r="E83">
        <v>31</v>
      </c>
      <c r="F83">
        <v>5251</v>
      </c>
      <c r="G83">
        <v>4853</v>
      </c>
      <c r="I83" t="s">
        <v>48</v>
      </c>
      <c r="J83">
        <v>20</v>
      </c>
      <c r="K83" s="18">
        <f t="shared" si="2"/>
        <v>1.4094006890819676E-3</v>
      </c>
      <c r="L83">
        <f t="shared" si="3"/>
        <v>225611.37096774194</v>
      </c>
    </row>
    <row r="84" spans="1:12" x14ac:dyDescent="0.3">
      <c r="A84" s="13">
        <v>43952</v>
      </c>
      <c r="B84" s="16" t="s">
        <v>20</v>
      </c>
      <c r="C84">
        <v>35190</v>
      </c>
      <c r="D84">
        <v>3168510</v>
      </c>
      <c r="E84">
        <v>19</v>
      </c>
      <c r="F84">
        <v>1987</v>
      </c>
      <c r="G84">
        <v>1791</v>
      </c>
      <c r="I84" t="s">
        <v>49</v>
      </c>
      <c r="J84">
        <v>18</v>
      </c>
      <c r="K84" s="18">
        <f t="shared" si="2"/>
        <v>6.385087941851343E-4</v>
      </c>
      <c r="L84">
        <f t="shared" si="3"/>
        <v>166763.68421052632</v>
      </c>
    </row>
    <row r="85" spans="1:12" x14ac:dyDescent="0.3">
      <c r="A85" s="13">
        <v>43954</v>
      </c>
      <c r="B85" s="16" t="s">
        <v>11</v>
      </c>
      <c r="C85">
        <v>77263.5</v>
      </c>
      <c r="D85">
        <v>7013670</v>
      </c>
      <c r="E85">
        <v>31</v>
      </c>
      <c r="F85">
        <v>5155</v>
      </c>
      <c r="G85">
        <v>4762</v>
      </c>
      <c r="I85" t="s">
        <v>43</v>
      </c>
      <c r="J85">
        <v>18</v>
      </c>
      <c r="K85" s="18">
        <f t="shared" si="2"/>
        <v>1.4133741015532383E-3</v>
      </c>
      <c r="L85">
        <f t="shared" si="3"/>
        <v>226247.4193548387</v>
      </c>
    </row>
    <row r="86" spans="1:12" x14ac:dyDescent="0.3">
      <c r="A86" s="13">
        <v>43952</v>
      </c>
      <c r="B86" s="16" t="s">
        <v>22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I86" t="s">
        <v>49</v>
      </c>
      <c r="J86">
        <v>18</v>
      </c>
      <c r="K86" s="18">
        <f t="shared" si="2"/>
        <v>4.8270459578256672E-3</v>
      </c>
      <c r="L86">
        <f t="shared" si="3"/>
        <v>443584</v>
      </c>
    </row>
    <row r="87" spans="1:12" x14ac:dyDescent="0.3">
      <c r="A87" s="13">
        <v>43957</v>
      </c>
      <c r="B87" s="16" t="s">
        <v>11</v>
      </c>
      <c r="C87">
        <v>68994</v>
      </c>
      <c r="D87">
        <v>6168657</v>
      </c>
      <c r="E87">
        <v>31</v>
      </c>
      <c r="F87">
        <v>4709</v>
      </c>
      <c r="G87">
        <v>4348</v>
      </c>
      <c r="I87" t="s">
        <v>48</v>
      </c>
      <c r="J87">
        <v>19</v>
      </c>
      <c r="K87" s="18">
        <f t="shared" si="2"/>
        <v>1.2430895729575377E-3</v>
      </c>
      <c r="L87">
        <f t="shared" si="3"/>
        <v>198988.93548387097</v>
      </c>
    </row>
    <row r="88" spans="1:12" x14ac:dyDescent="0.3">
      <c r="A88" s="13">
        <v>43952</v>
      </c>
      <c r="B88" s="16" t="s">
        <v>21</v>
      </c>
      <c r="C88">
        <v>239409</v>
      </c>
      <c r="D88">
        <v>25413351</v>
      </c>
      <c r="E88">
        <v>59</v>
      </c>
      <c r="F88">
        <v>15222</v>
      </c>
      <c r="G88">
        <v>13873</v>
      </c>
      <c r="I88" t="s">
        <v>49</v>
      </c>
      <c r="J88">
        <v>18</v>
      </c>
      <c r="K88" s="18">
        <f t="shared" si="2"/>
        <v>5.1212235729770706E-3</v>
      </c>
      <c r="L88">
        <f t="shared" si="3"/>
        <v>430734.76271186443</v>
      </c>
    </row>
    <row r="89" spans="1:12" x14ac:dyDescent="0.3">
      <c r="A89" s="13">
        <v>43974</v>
      </c>
      <c r="B89" s="16" t="s">
        <v>11</v>
      </c>
      <c r="C89">
        <v>102889.5</v>
      </c>
      <c r="D89">
        <v>8089143</v>
      </c>
      <c r="E89">
        <v>31</v>
      </c>
      <c r="F89">
        <v>6276</v>
      </c>
      <c r="G89">
        <v>5801</v>
      </c>
      <c r="I89" t="s">
        <v>45</v>
      </c>
      <c r="J89">
        <v>21</v>
      </c>
      <c r="K89" s="18">
        <f t="shared" si="2"/>
        <v>1.6301002499348651E-3</v>
      </c>
      <c r="L89">
        <f t="shared" si="3"/>
        <v>260940.09677419355</v>
      </c>
    </row>
    <row r="90" spans="1:12" x14ac:dyDescent="0.3">
      <c r="A90" s="13">
        <v>43952</v>
      </c>
      <c r="B90" s="16" t="s">
        <v>13</v>
      </c>
      <c r="C90">
        <v>25792.5</v>
      </c>
      <c r="D90">
        <v>2374356</v>
      </c>
      <c r="E90">
        <v>19</v>
      </c>
      <c r="F90">
        <v>1497</v>
      </c>
      <c r="G90">
        <v>1291</v>
      </c>
      <c r="I90" t="s">
        <v>49</v>
      </c>
      <c r="J90">
        <v>18</v>
      </c>
      <c r="K90" s="18">
        <f t="shared" si="2"/>
        <v>4.7847322133313095E-4</v>
      </c>
      <c r="L90">
        <f t="shared" si="3"/>
        <v>124966.10526315789</v>
      </c>
    </row>
    <row r="91" spans="1:12" x14ac:dyDescent="0.3">
      <c r="A91" s="13">
        <v>43976</v>
      </c>
      <c r="B91" s="16" t="s">
        <v>11</v>
      </c>
      <c r="C91">
        <v>76999.5</v>
      </c>
      <c r="D91">
        <v>6645603</v>
      </c>
      <c r="E91">
        <v>31</v>
      </c>
      <c r="F91">
        <v>5210</v>
      </c>
      <c r="G91">
        <v>4841</v>
      </c>
      <c r="I91" t="s">
        <v>47</v>
      </c>
      <c r="J91">
        <v>22</v>
      </c>
      <c r="K91" s="18">
        <f t="shared" si="2"/>
        <v>1.3392023248034915E-3</v>
      </c>
      <c r="L91">
        <f t="shared" si="3"/>
        <v>214374.29032258064</v>
      </c>
    </row>
    <row r="92" spans="1:12" x14ac:dyDescent="0.3">
      <c r="A92" s="13">
        <v>43952</v>
      </c>
      <c r="B92" s="16" t="s">
        <v>23</v>
      </c>
      <c r="C92">
        <v>13644</v>
      </c>
      <c r="D92">
        <v>1134444</v>
      </c>
      <c r="E92">
        <v>15</v>
      </c>
      <c r="F92">
        <v>721</v>
      </c>
      <c r="G92">
        <v>625</v>
      </c>
      <c r="I92" t="s">
        <v>49</v>
      </c>
      <c r="J92">
        <v>18</v>
      </c>
      <c r="K92" s="18">
        <f t="shared" si="2"/>
        <v>2.2860981045051476E-4</v>
      </c>
      <c r="L92">
        <f t="shared" si="3"/>
        <v>75629.600000000006</v>
      </c>
    </row>
    <row r="93" spans="1:12" x14ac:dyDescent="0.3">
      <c r="A93" s="13">
        <v>43952</v>
      </c>
      <c r="B93" s="16" t="s">
        <v>18</v>
      </c>
      <c r="C93">
        <v>17113.5</v>
      </c>
      <c r="D93">
        <v>1465842</v>
      </c>
      <c r="E93">
        <v>15</v>
      </c>
      <c r="F93">
        <v>996</v>
      </c>
      <c r="G93">
        <v>888</v>
      </c>
      <c r="I93" t="s">
        <v>49</v>
      </c>
      <c r="J93">
        <v>18</v>
      </c>
      <c r="K93" s="18">
        <f t="shared" si="2"/>
        <v>2.9539215842333641E-4</v>
      </c>
      <c r="L93">
        <f t="shared" si="3"/>
        <v>97722.8</v>
      </c>
    </row>
    <row r="94" spans="1:12" x14ac:dyDescent="0.3">
      <c r="A94" s="13">
        <v>43961</v>
      </c>
      <c r="B94" s="16" t="s">
        <v>11</v>
      </c>
      <c r="C94">
        <v>84132</v>
      </c>
      <c r="D94">
        <v>7483194</v>
      </c>
      <c r="E94">
        <v>31</v>
      </c>
      <c r="F94">
        <v>5495</v>
      </c>
      <c r="G94">
        <v>5093</v>
      </c>
      <c r="I94" t="s">
        <v>43</v>
      </c>
      <c r="J94">
        <v>19</v>
      </c>
      <c r="K94" s="18">
        <f t="shared" si="2"/>
        <v>1.5079911938398274E-3</v>
      </c>
      <c r="L94">
        <f t="shared" si="3"/>
        <v>241393.35483870967</v>
      </c>
    </row>
    <row r="95" spans="1:12" x14ac:dyDescent="0.3">
      <c r="A95" s="13">
        <v>43952</v>
      </c>
      <c r="B95" s="16" t="s">
        <v>19</v>
      </c>
      <c r="C95">
        <v>5446.5</v>
      </c>
      <c r="D95">
        <v>505572</v>
      </c>
      <c r="E95">
        <v>15</v>
      </c>
      <c r="F95">
        <v>294</v>
      </c>
      <c r="G95">
        <v>225</v>
      </c>
      <c r="I95" t="s">
        <v>49</v>
      </c>
      <c r="J95">
        <v>18</v>
      </c>
      <c r="K95" s="18">
        <f t="shared" si="2"/>
        <v>1.0188137897427078E-4</v>
      </c>
      <c r="L95">
        <f t="shared" si="3"/>
        <v>33704.800000000003</v>
      </c>
    </row>
    <row r="96" spans="1:12" x14ac:dyDescent="0.3">
      <c r="A96" s="13">
        <v>43959</v>
      </c>
      <c r="B96" s="16" t="s">
        <v>11</v>
      </c>
      <c r="C96">
        <v>69544.5</v>
      </c>
      <c r="D96">
        <v>6293776.5</v>
      </c>
      <c r="E96">
        <v>31</v>
      </c>
      <c r="F96">
        <v>4635</v>
      </c>
      <c r="G96">
        <v>4266</v>
      </c>
      <c r="I96" t="s">
        <v>49</v>
      </c>
      <c r="J96">
        <v>19</v>
      </c>
      <c r="K96" s="18">
        <f t="shared" si="2"/>
        <v>1.2683032857354829E-3</v>
      </c>
      <c r="L96">
        <f t="shared" si="3"/>
        <v>203025.04838709679</v>
      </c>
    </row>
    <row r="97" spans="1:12" x14ac:dyDescent="0.3">
      <c r="A97" s="13">
        <v>43952</v>
      </c>
      <c r="B97" s="16" t="s">
        <v>15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I97" t="s">
        <v>49</v>
      </c>
      <c r="J97">
        <v>18</v>
      </c>
      <c r="K97" s="18">
        <f t="shared" si="2"/>
        <v>8.0762378834244811E-3</v>
      </c>
      <c r="L97">
        <f t="shared" si="3"/>
        <v>320617.54800000001</v>
      </c>
    </row>
    <row r="98" spans="1:12" x14ac:dyDescent="0.3">
      <c r="A98" s="13">
        <v>43958</v>
      </c>
      <c r="B98" s="16" t="s">
        <v>11</v>
      </c>
      <c r="C98">
        <v>73204.5</v>
      </c>
      <c r="D98">
        <v>6591883.5</v>
      </c>
      <c r="E98">
        <v>31</v>
      </c>
      <c r="F98">
        <v>4903</v>
      </c>
      <c r="G98">
        <v>4527</v>
      </c>
      <c r="I98" t="s">
        <v>46</v>
      </c>
      <c r="J98">
        <v>19</v>
      </c>
      <c r="K98" s="18">
        <f t="shared" si="2"/>
        <v>1.3283769295327718E-3</v>
      </c>
      <c r="L98">
        <f t="shared" si="3"/>
        <v>212641.40322580645</v>
      </c>
    </row>
    <row r="99" spans="1:12" x14ac:dyDescent="0.3">
      <c r="A99" s="13">
        <v>43952</v>
      </c>
      <c r="B99" s="16" t="s">
        <v>14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I99" t="s">
        <v>49</v>
      </c>
      <c r="J99">
        <v>18</v>
      </c>
      <c r="K99" s="18">
        <f t="shared" si="2"/>
        <v>6.2577727934784279E-3</v>
      </c>
      <c r="L99">
        <f t="shared" si="3"/>
        <v>240723.38372093023</v>
      </c>
    </row>
    <row r="100" spans="1:12" x14ac:dyDescent="0.3">
      <c r="A100" s="13">
        <v>43975</v>
      </c>
      <c r="B100" s="16" t="s">
        <v>11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I100" t="s">
        <v>43</v>
      </c>
      <c r="J100">
        <v>21</v>
      </c>
      <c r="K100" s="18">
        <f t="shared" si="2"/>
        <v>1.2999929504939908E-3</v>
      </c>
      <c r="L100">
        <f t="shared" si="3"/>
        <v>208097.80645161291</v>
      </c>
    </row>
    <row r="101" spans="1:12" x14ac:dyDescent="0.3">
      <c r="A101" s="13">
        <v>43952</v>
      </c>
      <c r="B101" s="16" t="s">
        <v>12</v>
      </c>
      <c r="C101">
        <v>11619</v>
      </c>
      <c r="D101">
        <v>891139.5</v>
      </c>
      <c r="E101">
        <v>10</v>
      </c>
      <c r="F101">
        <v>554</v>
      </c>
      <c r="G101">
        <v>472</v>
      </c>
      <c r="I101" t="s">
        <v>49</v>
      </c>
      <c r="J101">
        <v>18</v>
      </c>
      <c r="K101" s="18">
        <f t="shared" si="2"/>
        <v>1.7957980489117709E-4</v>
      </c>
      <c r="L101">
        <f t="shared" si="3"/>
        <v>89113.95</v>
      </c>
    </row>
    <row r="102" spans="1:12" x14ac:dyDescent="0.3">
      <c r="A102" s="13">
        <v>43967</v>
      </c>
      <c r="B102" s="16" t="s">
        <v>12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I102" t="s">
        <v>45</v>
      </c>
      <c r="J102">
        <v>20</v>
      </c>
      <c r="K102" s="18">
        <f t="shared" si="2"/>
        <v>2.2781633705857218E-4</v>
      </c>
      <c r="L102">
        <f t="shared" si="3"/>
        <v>113050.65</v>
      </c>
    </row>
    <row r="103" spans="1:12" x14ac:dyDescent="0.3">
      <c r="A103" s="13">
        <v>43953</v>
      </c>
      <c r="B103" s="16" t="s">
        <v>16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I103" t="s">
        <v>45</v>
      </c>
      <c r="J103">
        <v>18</v>
      </c>
      <c r="K103" s="18">
        <f t="shared" si="2"/>
        <v>8.2989790135303996E-4</v>
      </c>
      <c r="L103">
        <f t="shared" si="3"/>
        <v>114395.875</v>
      </c>
    </row>
    <row r="104" spans="1:12" x14ac:dyDescent="0.3">
      <c r="A104" s="13">
        <v>43970</v>
      </c>
      <c r="B104" s="16" t="s">
        <v>12</v>
      </c>
      <c r="C104">
        <v>11526</v>
      </c>
      <c r="D104">
        <v>938764.5</v>
      </c>
      <c r="E104">
        <v>10</v>
      </c>
      <c r="F104">
        <v>649</v>
      </c>
      <c r="G104">
        <v>568</v>
      </c>
      <c r="I104" t="s">
        <v>44</v>
      </c>
      <c r="J104">
        <v>21</v>
      </c>
      <c r="K104" s="18">
        <f t="shared" si="2"/>
        <v>1.8917705448895868E-4</v>
      </c>
      <c r="L104">
        <f t="shared" si="3"/>
        <v>93876.45</v>
      </c>
    </row>
    <row r="105" spans="1:12" x14ac:dyDescent="0.3">
      <c r="A105" s="13">
        <v>43968</v>
      </c>
      <c r="B105" s="16" t="s">
        <v>12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I105" t="s">
        <v>43</v>
      </c>
      <c r="J105">
        <v>20</v>
      </c>
      <c r="K105" s="18">
        <f t="shared" si="2"/>
        <v>1.7002547842545482E-4</v>
      </c>
      <c r="L105">
        <f t="shared" si="3"/>
        <v>84372.75</v>
      </c>
    </row>
    <row r="106" spans="1:12" x14ac:dyDescent="0.3">
      <c r="A106" s="13">
        <v>43953</v>
      </c>
      <c r="B106" s="16" t="s">
        <v>17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I106" t="s">
        <v>45</v>
      </c>
      <c r="J106">
        <v>18</v>
      </c>
      <c r="K106" s="18">
        <f t="shared" si="2"/>
        <v>4.9784092443482105E-4</v>
      </c>
      <c r="L106">
        <f t="shared" si="3"/>
        <v>123523.27499999999</v>
      </c>
    </row>
    <row r="107" spans="1:12" x14ac:dyDescent="0.3">
      <c r="A107" s="13">
        <v>43960</v>
      </c>
      <c r="B107" s="16" t="s">
        <v>12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I107" t="s">
        <v>45</v>
      </c>
      <c r="J107">
        <v>19</v>
      </c>
      <c r="K107" s="18">
        <f t="shared" si="2"/>
        <v>2.108674431311009E-4</v>
      </c>
      <c r="L107">
        <f t="shared" si="3"/>
        <v>104640</v>
      </c>
    </row>
    <row r="108" spans="1:12" x14ac:dyDescent="0.3">
      <c r="A108" s="13">
        <v>43955</v>
      </c>
      <c r="B108" s="16" t="s">
        <v>12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I108" t="s">
        <v>47</v>
      </c>
      <c r="J108">
        <v>19</v>
      </c>
      <c r="K108" s="18">
        <f t="shared" si="2"/>
        <v>1.468838647338969E-4</v>
      </c>
      <c r="L108">
        <f t="shared" si="3"/>
        <v>72889.05</v>
      </c>
    </row>
    <row r="109" spans="1:12" x14ac:dyDescent="0.3">
      <c r="A109" s="13">
        <v>43953</v>
      </c>
      <c r="B109" s="16" t="s">
        <v>20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I109" t="s">
        <v>45</v>
      </c>
      <c r="J109">
        <v>18</v>
      </c>
      <c r="K109" s="18">
        <f t="shared" si="2"/>
        <v>3.391232731023871E-4</v>
      </c>
      <c r="L109">
        <f t="shared" si="3"/>
        <v>88571.131578947374</v>
      </c>
    </row>
    <row r="110" spans="1:12" x14ac:dyDescent="0.3">
      <c r="A110" s="13">
        <v>43953</v>
      </c>
      <c r="B110" s="16" t="s">
        <v>22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I110" t="s">
        <v>45</v>
      </c>
      <c r="J110">
        <v>18</v>
      </c>
      <c r="K110" s="18">
        <f t="shared" si="2"/>
        <v>3.7534407900091738E-3</v>
      </c>
      <c r="L110">
        <f t="shared" si="3"/>
        <v>344924.47222222225</v>
      </c>
    </row>
    <row r="111" spans="1:12" x14ac:dyDescent="0.3">
      <c r="A111" s="13">
        <v>43953</v>
      </c>
      <c r="B111" s="16" t="s">
        <v>12</v>
      </c>
      <c r="C111">
        <v>7866</v>
      </c>
      <c r="D111">
        <v>617881.5</v>
      </c>
      <c r="E111">
        <v>10</v>
      </c>
      <c r="F111">
        <v>416</v>
      </c>
      <c r="G111">
        <v>341</v>
      </c>
      <c r="I111" t="s">
        <v>45</v>
      </c>
      <c r="J111">
        <v>18</v>
      </c>
      <c r="K111" s="18">
        <f t="shared" si="2"/>
        <v>1.2451365831709607E-4</v>
      </c>
      <c r="L111">
        <f t="shared" si="3"/>
        <v>61788.15</v>
      </c>
    </row>
    <row r="112" spans="1:12" x14ac:dyDescent="0.3">
      <c r="A112" s="13">
        <v>43953</v>
      </c>
      <c r="B112" s="16" t="s">
        <v>21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I112" t="s">
        <v>45</v>
      </c>
      <c r="J112">
        <v>18</v>
      </c>
      <c r="K112" s="18">
        <f t="shared" si="2"/>
        <v>3.9548454961746511E-3</v>
      </c>
      <c r="L112">
        <f t="shared" si="3"/>
        <v>332633.28813559323</v>
      </c>
    </row>
    <row r="113" spans="1:12" x14ac:dyDescent="0.3">
      <c r="A113" s="13">
        <v>43977</v>
      </c>
      <c r="B113" s="16" t="s">
        <v>12</v>
      </c>
      <c r="C113">
        <v>11835</v>
      </c>
      <c r="D113">
        <v>983109</v>
      </c>
      <c r="E113">
        <v>10</v>
      </c>
      <c r="F113">
        <v>692</v>
      </c>
      <c r="G113">
        <v>601</v>
      </c>
      <c r="I113" t="s">
        <v>44</v>
      </c>
      <c r="J113">
        <v>22</v>
      </c>
      <c r="K113" s="18">
        <f t="shared" si="2"/>
        <v>1.9811322739791043E-4</v>
      </c>
      <c r="L113">
        <f t="shared" si="3"/>
        <v>98310.9</v>
      </c>
    </row>
    <row r="114" spans="1:12" x14ac:dyDescent="0.3">
      <c r="A114" s="13">
        <v>43953</v>
      </c>
      <c r="B114" s="16" t="s">
        <v>13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I114" t="s">
        <v>45</v>
      </c>
      <c r="J114">
        <v>18</v>
      </c>
      <c r="K114" s="18">
        <f t="shared" si="2"/>
        <v>3.6257562608800866E-4</v>
      </c>
      <c r="L114">
        <f t="shared" si="3"/>
        <v>94696.34210526316</v>
      </c>
    </row>
    <row r="115" spans="1:12" x14ac:dyDescent="0.3">
      <c r="A115" s="13">
        <v>43953</v>
      </c>
      <c r="B115" s="16" t="s">
        <v>23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I115" t="s">
        <v>45</v>
      </c>
      <c r="J115">
        <v>18</v>
      </c>
      <c r="K115" s="18">
        <f t="shared" si="2"/>
        <v>1.646111182744166E-4</v>
      </c>
      <c r="L115">
        <f t="shared" si="3"/>
        <v>54457.3</v>
      </c>
    </row>
    <row r="116" spans="1:12" x14ac:dyDescent="0.3">
      <c r="A116" s="13">
        <v>43963</v>
      </c>
      <c r="B116" s="16" t="s">
        <v>12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I116" t="s">
        <v>44</v>
      </c>
      <c r="J116">
        <v>20</v>
      </c>
      <c r="K116" s="18">
        <f t="shared" si="2"/>
        <v>1.477048452034268E-4</v>
      </c>
      <c r="L116">
        <f t="shared" si="3"/>
        <v>73296.45</v>
      </c>
    </row>
    <row r="117" spans="1:12" x14ac:dyDescent="0.3">
      <c r="A117" s="13">
        <v>43953</v>
      </c>
      <c r="B117" s="16" t="s">
        <v>18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I117" t="s">
        <v>45</v>
      </c>
      <c r="J117">
        <v>18</v>
      </c>
      <c r="K117" s="18">
        <f t="shared" si="2"/>
        <v>2.1224189018373437E-4</v>
      </c>
      <c r="L117">
        <f t="shared" si="3"/>
        <v>70214.7</v>
      </c>
    </row>
    <row r="118" spans="1:12" x14ac:dyDescent="0.3">
      <c r="A118" s="13">
        <v>43972</v>
      </c>
      <c r="B118" s="16" t="s">
        <v>12</v>
      </c>
      <c r="C118">
        <v>11250</v>
      </c>
      <c r="D118">
        <v>935523</v>
      </c>
      <c r="E118">
        <v>10</v>
      </c>
      <c r="F118">
        <v>677</v>
      </c>
      <c r="G118">
        <v>591</v>
      </c>
      <c r="I118" t="s">
        <v>46</v>
      </c>
      <c r="J118">
        <v>21</v>
      </c>
      <c r="K118" s="18">
        <f t="shared" si="2"/>
        <v>1.8852383696515377E-4</v>
      </c>
      <c r="L118">
        <f t="shared" si="3"/>
        <v>93552.3</v>
      </c>
    </row>
    <row r="119" spans="1:12" x14ac:dyDescent="0.3">
      <c r="A119" s="13">
        <v>43953</v>
      </c>
      <c r="B119" s="16" t="s">
        <v>19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I119" t="s">
        <v>45</v>
      </c>
      <c r="J119">
        <v>18</v>
      </c>
      <c r="K119" s="18">
        <f t="shared" si="2"/>
        <v>8.7305952884335922E-5</v>
      </c>
      <c r="L119">
        <f t="shared" si="3"/>
        <v>28882.9</v>
      </c>
    </row>
    <row r="120" spans="1:12" x14ac:dyDescent="0.3">
      <c r="A120" s="13">
        <v>43971</v>
      </c>
      <c r="B120" s="16" t="s">
        <v>12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I120" t="s">
        <v>48</v>
      </c>
      <c r="J120">
        <v>21</v>
      </c>
      <c r="K120" s="18">
        <f t="shared" si="2"/>
        <v>2.0902295755485955E-4</v>
      </c>
      <c r="L120">
        <f t="shared" si="3"/>
        <v>103724.7</v>
      </c>
    </row>
    <row r="121" spans="1:12" x14ac:dyDescent="0.3">
      <c r="A121" s="13">
        <v>43953</v>
      </c>
      <c r="B121" s="16" t="s">
        <v>15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I121" t="s">
        <v>45</v>
      </c>
      <c r="J121">
        <v>18</v>
      </c>
      <c r="K121" s="18">
        <f t="shared" si="2"/>
        <v>6.4170560024170813E-3</v>
      </c>
      <c r="L121">
        <f t="shared" si="3"/>
        <v>254749.89600000001</v>
      </c>
    </row>
    <row r="122" spans="1:12" x14ac:dyDescent="0.3">
      <c r="A122" s="13">
        <v>43956</v>
      </c>
      <c r="B122" s="16" t="s">
        <v>12</v>
      </c>
      <c r="C122">
        <v>10147.5</v>
      </c>
      <c r="D122">
        <v>793320</v>
      </c>
      <c r="E122">
        <v>10</v>
      </c>
      <c r="F122">
        <v>511</v>
      </c>
      <c r="G122">
        <v>437</v>
      </c>
      <c r="I122" t="s">
        <v>44</v>
      </c>
      <c r="J122">
        <v>19</v>
      </c>
      <c r="K122" s="18">
        <f t="shared" si="2"/>
        <v>1.5986750763070047E-4</v>
      </c>
      <c r="L122">
        <f t="shared" si="3"/>
        <v>79332</v>
      </c>
    </row>
    <row r="123" spans="1:12" x14ac:dyDescent="0.3">
      <c r="A123" s="13">
        <v>43953</v>
      </c>
      <c r="B123" s="16" t="s">
        <v>14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I123" t="s">
        <v>45</v>
      </c>
      <c r="J123">
        <v>18</v>
      </c>
      <c r="K123" s="18">
        <f t="shared" si="2"/>
        <v>4.9053314029148219E-3</v>
      </c>
      <c r="L123">
        <f t="shared" si="3"/>
        <v>188697.8023255814</v>
      </c>
    </row>
    <row r="124" spans="1:12" x14ac:dyDescent="0.3">
      <c r="A124" s="13">
        <v>43964</v>
      </c>
      <c r="B124" s="16" t="s">
        <v>12</v>
      </c>
      <c r="C124">
        <v>11202</v>
      </c>
      <c r="D124">
        <v>865714.5</v>
      </c>
      <c r="E124">
        <v>10</v>
      </c>
      <c r="F124">
        <v>612</v>
      </c>
      <c r="G124">
        <v>530</v>
      </c>
      <c r="I124" t="s">
        <v>48</v>
      </c>
      <c r="J124">
        <v>20</v>
      </c>
      <c r="K124" s="18">
        <f t="shared" si="2"/>
        <v>1.7445623384606217E-4</v>
      </c>
      <c r="L124">
        <f t="shared" si="3"/>
        <v>86571.45</v>
      </c>
    </row>
    <row r="125" spans="1:12" x14ac:dyDescent="0.3">
      <c r="A125" s="13">
        <v>43954</v>
      </c>
      <c r="B125" s="16" t="s">
        <v>16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I125" t="s">
        <v>43</v>
      </c>
      <c r="J125">
        <v>18</v>
      </c>
      <c r="K125" s="18">
        <f t="shared" si="2"/>
        <v>1.2537021662214279E-3</v>
      </c>
      <c r="L125">
        <f t="shared" si="3"/>
        <v>172814.45833333334</v>
      </c>
    </row>
    <row r="126" spans="1:12" x14ac:dyDescent="0.3">
      <c r="A126" s="13">
        <v>43982</v>
      </c>
      <c r="B126" s="16" t="s">
        <v>11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I126" t="s">
        <v>43</v>
      </c>
      <c r="J126">
        <v>22</v>
      </c>
      <c r="K126" s="18">
        <f t="shared" si="2"/>
        <v>1.5139263748115579E-3</v>
      </c>
      <c r="L126">
        <f t="shared" si="3"/>
        <v>242343.43548387097</v>
      </c>
    </row>
    <row r="127" spans="1:12" x14ac:dyDescent="0.3">
      <c r="A127" s="13">
        <v>43954</v>
      </c>
      <c r="B127" s="16" t="s">
        <v>12</v>
      </c>
      <c r="C127">
        <v>8185.5</v>
      </c>
      <c r="D127">
        <v>637881</v>
      </c>
      <c r="E127">
        <v>10</v>
      </c>
      <c r="F127">
        <v>402</v>
      </c>
      <c r="G127">
        <v>333</v>
      </c>
      <c r="I127" t="s">
        <v>43</v>
      </c>
      <c r="J127">
        <v>18</v>
      </c>
      <c r="K127" s="18">
        <f t="shared" si="2"/>
        <v>1.2854389859700858E-4</v>
      </c>
      <c r="L127">
        <f t="shared" si="3"/>
        <v>63788.1</v>
      </c>
    </row>
    <row r="128" spans="1:12" x14ac:dyDescent="0.3">
      <c r="A128" s="13">
        <v>43954</v>
      </c>
      <c r="B128" s="16" t="s">
        <v>17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I128" t="s">
        <v>43</v>
      </c>
      <c r="J128">
        <v>18</v>
      </c>
      <c r="K128" s="18">
        <f t="shared" si="2"/>
        <v>5.4812688502026217E-4</v>
      </c>
      <c r="L128">
        <f t="shared" si="3"/>
        <v>136000.125</v>
      </c>
    </row>
    <row r="129" spans="1:12" x14ac:dyDescent="0.3">
      <c r="A129" s="13">
        <v>43981</v>
      </c>
      <c r="B129" s="16" t="s">
        <v>11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I129" t="s">
        <v>45</v>
      </c>
      <c r="J129">
        <v>22</v>
      </c>
      <c r="K129" s="18">
        <f t="shared" si="2"/>
        <v>1.846844837126743E-3</v>
      </c>
      <c r="L129">
        <f t="shared" si="3"/>
        <v>295635.72580645164</v>
      </c>
    </row>
    <row r="130" spans="1:12" x14ac:dyDescent="0.3">
      <c r="A130" s="13">
        <v>43957</v>
      </c>
      <c r="B130" s="16" t="s">
        <v>12</v>
      </c>
      <c r="C130">
        <v>9210</v>
      </c>
      <c r="D130">
        <v>696832.5</v>
      </c>
      <c r="E130">
        <v>10</v>
      </c>
      <c r="F130">
        <v>465</v>
      </c>
      <c r="G130">
        <v>390</v>
      </c>
      <c r="I130" t="s">
        <v>48</v>
      </c>
      <c r="J130">
        <v>19</v>
      </c>
      <c r="K130" s="18">
        <f t="shared" ref="K130:K193" si="4" xml:space="preserve"> D130/SUM($D$2:$D$505)</f>
        <v>1.4042363108338385E-4</v>
      </c>
      <c r="L130">
        <f t="shared" ref="L130:L193" si="5">D130/E130</f>
        <v>69683.25</v>
      </c>
    </row>
    <row r="131" spans="1:12" x14ac:dyDescent="0.3">
      <c r="A131" s="13">
        <v>43954</v>
      </c>
      <c r="B131" s="16" t="s">
        <v>20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I131" t="s">
        <v>43</v>
      </c>
      <c r="J131">
        <v>18</v>
      </c>
      <c r="K131" s="18">
        <f t="shared" si="4"/>
        <v>3.8420374596110697E-4</v>
      </c>
      <c r="L131">
        <f t="shared" si="5"/>
        <v>100345.10526315789</v>
      </c>
    </row>
    <row r="132" spans="1:12" x14ac:dyDescent="0.3">
      <c r="A132" s="13">
        <v>43974</v>
      </c>
      <c r="B132" s="16" t="s">
        <v>12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I132" t="s">
        <v>45</v>
      </c>
      <c r="J132">
        <v>21</v>
      </c>
      <c r="K132" s="18">
        <f t="shared" si="4"/>
        <v>2.5015994322451928E-4</v>
      </c>
      <c r="L132">
        <f t="shared" si="5"/>
        <v>124138.35</v>
      </c>
    </row>
    <row r="133" spans="1:12" x14ac:dyDescent="0.3">
      <c r="A133" s="13">
        <v>43954</v>
      </c>
      <c r="B133" s="16" t="s">
        <v>22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I133" t="s">
        <v>43</v>
      </c>
      <c r="J133">
        <v>18</v>
      </c>
      <c r="K133" s="18">
        <f t="shared" si="4"/>
        <v>5.1425282579818342E-3</v>
      </c>
      <c r="L133">
        <f t="shared" si="5"/>
        <v>472575.41666666669</v>
      </c>
    </row>
    <row r="134" spans="1:12" x14ac:dyDescent="0.3">
      <c r="A134" s="13">
        <v>43979</v>
      </c>
      <c r="B134" s="16" t="s">
        <v>11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I134" t="s">
        <v>46</v>
      </c>
      <c r="J134">
        <v>22</v>
      </c>
      <c r="K134" s="18">
        <f t="shared" si="4"/>
        <v>1.3383895057745645E-3</v>
      </c>
      <c r="L134">
        <f t="shared" si="5"/>
        <v>214244.17741935485</v>
      </c>
    </row>
    <row r="135" spans="1:12" x14ac:dyDescent="0.3">
      <c r="A135" s="13">
        <v>43954</v>
      </c>
      <c r="B135" s="16" t="s">
        <v>21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I135" t="s">
        <v>43</v>
      </c>
      <c r="J135">
        <v>18</v>
      </c>
      <c r="K135" s="18">
        <f t="shared" si="4"/>
        <v>5.3386458620145617E-3</v>
      </c>
      <c r="L135">
        <f t="shared" si="5"/>
        <v>449021.66949152545</v>
      </c>
    </row>
    <row r="136" spans="1:12" x14ac:dyDescent="0.3">
      <c r="A136" s="13">
        <v>43976</v>
      </c>
      <c r="B136" s="16" t="s">
        <v>12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I136" t="s">
        <v>47</v>
      </c>
      <c r="J136">
        <v>22</v>
      </c>
      <c r="K136" s="18">
        <f t="shared" si="4"/>
        <v>2.07651230982427E-4</v>
      </c>
      <c r="L136">
        <f t="shared" si="5"/>
        <v>103044</v>
      </c>
    </row>
    <row r="137" spans="1:12" x14ac:dyDescent="0.3">
      <c r="A137" s="13">
        <v>43954</v>
      </c>
      <c r="B137" s="16" t="s">
        <v>13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I137" t="s">
        <v>43</v>
      </c>
      <c r="J137">
        <v>18</v>
      </c>
      <c r="K137" s="18">
        <f t="shared" si="4"/>
        <v>4.3735437219814415E-4</v>
      </c>
      <c r="L137">
        <f t="shared" si="5"/>
        <v>114226.81578947368</v>
      </c>
    </row>
    <row r="138" spans="1:12" x14ac:dyDescent="0.3">
      <c r="A138" s="13">
        <v>43954</v>
      </c>
      <c r="B138" s="16" t="s">
        <v>23</v>
      </c>
      <c r="C138">
        <v>10032</v>
      </c>
      <c r="D138">
        <v>816150</v>
      </c>
      <c r="E138">
        <v>15</v>
      </c>
      <c r="F138">
        <v>585</v>
      </c>
      <c r="G138">
        <v>502</v>
      </c>
      <c r="I138" t="s">
        <v>43</v>
      </c>
      <c r="J138">
        <v>18</v>
      </c>
      <c r="K138" s="18">
        <f t="shared" si="4"/>
        <v>1.6446814192607798E-4</v>
      </c>
      <c r="L138">
        <f t="shared" si="5"/>
        <v>54410</v>
      </c>
    </row>
    <row r="139" spans="1:12" x14ac:dyDescent="0.3">
      <c r="A139" s="13">
        <v>43961</v>
      </c>
      <c r="B139" s="16" t="s">
        <v>12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I139" t="s">
        <v>43</v>
      </c>
      <c r="J139">
        <v>19</v>
      </c>
      <c r="K139" s="18">
        <f t="shared" si="4"/>
        <v>2.0248201632505177E-4</v>
      </c>
      <c r="L139">
        <f t="shared" si="5"/>
        <v>100478.85</v>
      </c>
    </row>
    <row r="140" spans="1:12" x14ac:dyDescent="0.3">
      <c r="A140" s="13">
        <v>43954</v>
      </c>
      <c r="B140" s="16" t="s">
        <v>18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I140" t="s">
        <v>43</v>
      </c>
      <c r="J140">
        <v>18</v>
      </c>
      <c r="K140" s="18">
        <f t="shared" si="4"/>
        <v>2.2570101256454774E-4</v>
      </c>
      <c r="L140">
        <f t="shared" si="5"/>
        <v>74667.3</v>
      </c>
    </row>
    <row r="141" spans="1:12" x14ac:dyDescent="0.3">
      <c r="A141" s="13">
        <v>43959</v>
      </c>
      <c r="B141" s="16" t="s">
        <v>12</v>
      </c>
      <c r="C141">
        <v>12528</v>
      </c>
      <c r="D141">
        <v>959703</v>
      </c>
      <c r="E141">
        <v>10</v>
      </c>
      <c r="F141">
        <v>638</v>
      </c>
      <c r="G141">
        <v>547</v>
      </c>
      <c r="I141" t="s">
        <v>49</v>
      </c>
      <c r="J141">
        <v>19</v>
      </c>
      <c r="K141" s="18">
        <f t="shared" si="4"/>
        <v>1.9339651928062588E-4</v>
      </c>
      <c r="L141">
        <f t="shared" si="5"/>
        <v>95970.3</v>
      </c>
    </row>
    <row r="142" spans="1:12" x14ac:dyDescent="0.3">
      <c r="A142" s="13">
        <v>43954</v>
      </c>
      <c r="B142" s="16" t="s">
        <v>19</v>
      </c>
      <c r="C142">
        <v>8127</v>
      </c>
      <c r="D142">
        <v>665302.5</v>
      </c>
      <c r="E142">
        <v>15</v>
      </c>
      <c r="F142">
        <v>455</v>
      </c>
      <c r="G142">
        <v>384</v>
      </c>
      <c r="I142" t="s">
        <v>43</v>
      </c>
      <c r="J142">
        <v>18</v>
      </c>
      <c r="K142" s="18">
        <f t="shared" si="4"/>
        <v>1.340697984362856E-4</v>
      </c>
      <c r="L142">
        <f t="shared" si="5"/>
        <v>44353.5</v>
      </c>
    </row>
    <row r="143" spans="1:12" x14ac:dyDescent="0.3">
      <c r="A143" s="13">
        <v>43958</v>
      </c>
      <c r="B143" s="16" t="s">
        <v>12</v>
      </c>
      <c r="C143">
        <v>11029.5</v>
      </c>
      <c r="D143">
        <v>863754</v>
      </c>
      <c r="E143">
        <v>10</v>
      </c>
      <c r="F143">
        <v>563</v>
      </c>
      <c r="G143">
        <v>486</v>
      </c>
      <c r="I143" t="s">
        <v>46</v>
      </c>
      <c r="J143">
        <v>19</v>
      </c>
      <c r="K143" s="18">
        <f t="shared" si="4"/>
        <v>1.7406115966576923E-4</v>
      </c>
      <c r="L143">
        <f t="shared" si="5"/>
        <v>86375.4</v>
      </c>
    </row>
    <row r="144" spans="1:12" x14ac:dyDescent="0.3">
      <c r="A144" s="13">
        <v>43954</v>
      </c>
      <c r="B144" s="16" t="s">
        <v>15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I144" t="s">
        <v>43</v>
      </c>
      <c r="J144">
        <v>18</v>
      </c>
      <c r="K144" s="18">
        <f t="shared" si="4"/>
        <v>7.3819725452453806E-3</v>
      </c>
      <c r="L144">
        <f t="shared" si="5"/>
        <v>293055.99599999998</v>
      </c>
    </row>
    <row r="145" spans="1:12" x14ac:dyDescent="0.3">
      <c r="A145" s="13">
        <v>43975</v>
      </c>
      <c r="B145" s="16" t="s">
        <v>12</v>
      </c>
      <c r="C145">
        <v>9994.5</v>
      </c>
      <c r="D145">
        <v>828984</v>
      </c>
      <c r="E145">
        <v>10</v>
      </c>
      <c r="F145">
        <v>639</v>
      </c>
      <c r="G145">
        <v>557</v>
      </c>
      <c r="I145" t="s">
        <v>43</v>
      </c>
      <c r="J145">
        <v>21</v>
      </c>
      <c r="K145" s="18">
        <f t="shared" si="4"/>
        <v>1.6705441177044394E-4</v>
      </c>
      <c r="L145">
        <f t="shared" si="5"/>
        <v>82898.399999999994</v>
      </c>
    </row>
    <row r="146" spans="1:12" x14ac:dyDescent="0.3">
      <c r="A146" s="13">
        <v>43954</v>
      </c>
      <c r="B146" s="16" t="s">
        <v>14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I146" t="s">
        <v>43</v>
      </c>
      <c r="J146">
        <v>18</v>
      </c>
      <c r="K146" s="18">
        <f t="shared" si="4"/>
        <v>5.7285254365015753E-3</v>
      </c>
      <c r="L146">
        <f t="shared" si="5"/>
        <v>220364.34883720931</v>
      </c>
    </row>
    <row r="147" spans="1:12" x14ac:dyDescent="0.3">
      <c r="A147" s="13">
        <v>43982</v>
      </c>
      <c r="B147" s="16" t="s">
        <v>12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I147" t="s">
        <v>43</v>
      </c>
      <c r="J147">
        <v>22</v>
      </c>
      <c r="K147" s="18">
        <f t="shared" si="4"/>
        <v>2.1068910054015001E-4</v>
      </c>
      <c r="L147">
        <f t="shared" si="5"/>
        <v>104551.5</v>
      </c>
    </row>
    <row r="148" spans="1:12" x14ac:dyDescent="0.3">
      <c r="A148" s="13">
        <v>43981</v>
      </c>
      <c r="B148" s="16" t="s">
        <v>12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I148" t="s">
        <v>45</v>
      </c>
      <c r="J148">
        <v>22</v>
      </c>
      <c r="K148" s="18">
        <f t="shared" si="4"/>
        <v>2.5400881815770208E-4</v>
      </c>
      <c r="L148">
        <f t="shared" si="5"/>
        <v>126048.3</v>
      </c>
    </row>
    <row r="149" spans="1:12" x14ac:dyDescent="0.3">
      <c r="A149" s="13">
        <v>43955</v>
      </c>
      <c r="B149" s="16" t="s">
        <v>16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I149" t="s">
        <v>47</v>
      </c>
      <c r="J149">
        <v>19</v>
      </c>
      <c r="K149" s="18">
        <f t="shared" si="4"/>
        <v>1.1207275122038121E-3</v>
      </c>
      <c r="L149">
        <f t="shared" si="5"/>
        <v>154484.79166666666</v>
      </c>
    </row>
    <row r="150" spans="1:12" x14ac:dyDescent="0.3">
      <c r="A150" s="13">
        <v>43979</v>
      </c>
      <c r="B150" s="16" t="s">
        <v>12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I150" t="s">
        <v>46</v>
      </c>
      <c r="J150">
        <v>22</v>
      </c>
      <c r="K150" s="18">
        <f t="shared" si="4"/>
        <v>2.2460133401220979E-4</v>
      </c>
      <c r="L150">
        <f t="shared" si="5"/>
        <v>111455.25</v>
      </c>
    </row>
    <row r="151" spans="1:12" x14ac:dyDescent="0.3">
      <c r="A151" s="13">
        <v>43967</v>
      </c>
      <c r="B151" s="16" t="s">
        <v>13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I151" t="s">
        <v>45</v>
      </c>
      <c r="J151">
        <v>20</v>
      </c>
      <c r="K151" s="18">
        <f t="shared" si="4"/>
        <v>6.4939222636680762E-4</v>
      </c>
      <c r="L151">
        <f t="shared" si="5"/>
        <v>169606.18421052632</v>
      </c>
    </row>
    <row r="152" spans="1:12" x14ac:dyDescent="0.3">
      <c r="A152" s="13">
        <v>43955</v>
      </c>
      <c r="B152" s="16" t="s">
        <v>17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I152" t="s">
        <v>47</v>
      </c>
      <c r="J152">
        <v>19</v>
      </c>
      <c r="K152" s="18">
        <f t="shared" si="4"/>
        <v>5.6784553006787423E-4</v>
      </c>
      <c r="L152">
        <f t="shared" si="5"/>
        <v>140892.67499999999</v>
      </c>
    </row>
    <row r="153" spans="1:12" x14ac:dyDescent="0.3">
      <c r="A153" s="13">
        <v>43970</v>
      </c>
      <c r="B153" s="16" t="s">
        <v>13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I153" t="s">
        <v>44</v>
      </c>
      <c r="J153">
        <v>21</v>
      </c>
      <c r="K153" s="18">
        <f t="shared" si="4"/>
        <v>5.774143657613349E-4</v>
      </c>
      <c r="L153">
        <f t="shared" si="5"/>
        <v>150807.23684210525</v>
      </c>
    </row>
    <row r="154" spans="1:12" x14ac:dyDescent="0.3">
      <c r="A154" s="13">
        <v>43968</v>
      </c>
      <c r="B154" s="16" t="s">
        <v>13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I154" t="s">
        <v>43</v>
      </c>
      <c r="J154">
        <v>20</v>
      </c>
      <c r="K154" s="18">
        <f t="shared" si="4"/>
        <v>5.4294527706419372E-4</v>
      </c>
      <c r="L154">
        <f t="shared" si="5"/>
        <v>141804.71052631579</v>
      </c>
    </row>
    <row r="155" spans="1:12" x14ac:dyDescent="0.3">
      <c r="A155" s="13">
        <v>43955</v>
      </c>
      <c r="B155" s="16" t="s">
        <v>20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I155" t="s">
        <v>47</v>
      </c>
      <c r="J155">
        <v>19</v>
      </c>
      <c r="K155" s="18">
        <f t="shared" si="4"/>
        <v>4.3440386028242931E-4</v>
      </c>
      <c r="L155">
        <f t="shared" si="5"/>
        <v>113456.21052631579</v>
      </c>
    </row>
    <row r="156" spans="1:12" x14ac:dyDescent="0.3">
      <c r="A156" s="13">
        <v>43960</v>
      </c>
      <c r="B156" s="16" t="s">
        <v>13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I156" t="s">
        <v>45</v>
      </c>
      <c r="J156">
        <v>19</v>
      </c>
      <c r="K156" s="18">
        <f t="shared" si="4"/>
        <v>5.8483613802509334E-4</v>
      </c>
      <c r="L156">
        <f t="shared" si="5"/>
        <v>152745.63157894736</v>
      </c>
    </row>
    <row r="157" spans="1:12" x14ac:dyDescent="0.3">
      <c r="A157" s="13">
        <v>43955</v>
      </c>
      <c r="B157" s="16" t="s">
        <v>22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I157" t="s">
        <v>47</v>
      </c>
      <c r="J157">
        <v>19</v>
      </c>
      <c r="K157" s="18">
        <f t="shared" si="4"/>
        <v>4.5939494709726367E-3</v>
      </c>
      <c r="L157">
        <f t="shared" si="5"/>
        <v>422163.47222222225</v>
      </c>
    </row>
    <row r="158" spans="1:12" x14ac:dyDescent="0.3">
      <c r="A158" s="13">
        <v>43955</v>
      </c>
      <c r="B158" s="16" t="s">
        <v>13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I158" t="s">
        <v>47</v>
      </c>
      <c r="J158">
        <v>19</v>
      </c>
      <c r="K158" s="18">
        <f t="shared" si="4"/>
        <v>4.9391194647349927E-4</v>
      </c>
      <c r="L158">
        <f t="shared" si="5"/>
        <v>128998.34210526316</v>
      </c>
    </row>
    <row r="159" spans="1:12" x14ac:dyDescent="0.3">
      <c r="A159" s="13">
        <v>43955</v>
      </c>
      <c r="B159" s="16" t="s">
        <v>21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I159" t="s">
        <v>47</v>
      </c>
      <c r="J159">
        <v>19</v>
      </c>
      <c r="K159" s="18">
        <f t="shared" si="4"/>
        <v>4.8952961560046878E-3</v>
      </c>
      <c r="L159">
        <f t="shared" si="5"/>
        <v>411732.50847457629</v>
      </c>
    </row>
    <row r="160" spans="1:12" x14ac:dyDescent="0.3">
      <c r="A160" s="13">
        <v>43955</v>
      </c>
      <c r="B160" s="16" t="s">
        <v>23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I160" t="s">
        <v>47</v>
      </c>
      <c r="J160">
        <v>19</v>
      </c>
      <c r="K160" s="18">
        <f t="shared" si="4"/>
        <v>1.8264367014859801E-4</v>
      </c>
      <c r="L160">
        <f t="shared" si="5"/>
        <v>60422.9</v>
      </c>
    </row>
    <row r="161" spans="1:12" x14ac:dyDescent="0.3">
      <c r="A161" s="13">
        <v>43977</v>
      </c>
      <c r="B161" s="16" t="s">
        <v>13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I161" t="s">
        <v>44</v>
      </c>
      <c r="J161">
        <v>22</v>
      </c>
      <c r="K161" s="18">
        <f t="shared" si="4"/>
        <v>5.8589289344537191E-4</v>
      </c>
      <c r="L161">
        <f t="shared" si="5"/>
        <v>145370.54999999999</v>
      </c>
    </row>
    <row r="162" spans="1:12" x14ac:dyDescent="0.3">
      <c r="A162" s="13">
        <v>43955</v>
      </c>
      <c r="B162" s="16" t="s">
        <v>18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I162" t="s">
        <v>47</v>
      </c>
      <c r="J162">
        <v>19</v>
      </c>
      <c r="K162" s="18">
        <f t="shared" si="4"/>
        <v>2.1868852143324267E-4</v>
      </c>
      <c r="L162">
        <f t="shared" si="5"/>
        <v>72347.399999999994</v>
      </c>
    </row>
    <row r="163" spans="1:12" x14ac:dyDescent="0.3">
      <c r="A163" s="13">
        <v>43955</v>
      </c>
      <c r="B163" s="16" t="s">
        <v>19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I163" t="s">
        <v>47</v>
      </c>
      <c r="J163">
        <v>19</v>
      </c>
      <c r="K163" s="18">
        <f t="shared" si="4"/>
        <v>1.2309779951029262E-4</v>
      </c>
      <c r="L163">
        <f t="shared" si="5"/>
        <v>40723.699999999997</v>
      </c>
    </row>
    <row r="164" spans="1:12" x14ac:dyDescent="0.3">
      <c r="A164" s="13">
        <v>43963</v>
      </c>
      <c r="B164" s="16" t="s">
        <v>13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I164" t="s">
        <v>44</v>
      </c>
      <c r="J164">
        <v>20</v>
      </c>
      <c r="K164" s="18">
        <f t="shared" si="4"/>
        <v>4.7768246842138929E-4</v>
      </c>
      <c r="L164">
        <f t="shared" si="5"/>
        <v>124759.57894736843</v>
      </c>
    </row>
    <row r="165" spans="1:12" x14ac:dyDescent="0.3">
      <c r="A165" s="13">
        <v>43955</v>
      </c>
      <c r="B165" s="16" t="s">
        <v>15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I165" t="s">
        <v>47</v>
      </c>
      <c r="J165">
        <v>19</v>
      </c>
      <c r="K165" s="18">
        <f t="shared" si="4"/>
        <v>7.7396561433809331E-3</v>
      </c>
      <c r="L165">
        <f t="shared" si="5"/>
        <v>307255.63199999998</v>
      </c>
    </row>
    <row r="166" spans="1:12" x14ac:dyDescent="0.3">
      <c r="A166" s="13">
        <v>43972</v>
      </c>
      <c r="B166" s="16" t="s">
        <v>13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I166" t="s">
        <v>46</v>
      </c>
      <c r="J166">
        <v>21</v>
      </c>
      <c r="K166" s="18">
        <f t="shared" si="4"/>
        <v>5.7496472447817197E-4</v>
      </c>
      <c r="L166">
        <f t="shared" si="5"/>
        <v>150167.44736842104</v>
      </c>
    </row>
    <row r="167" spans="1:12" x14ac:dyDescent="0.3">
      <c r="A167" s="13">
        <v>43955</v>
      </c>
      <c r="B167" s="16" t="s">
        <v>14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I167" t="s">
        <v>47</v>
      </c>
      <c r="J167">
        <v>19</v>
      </c>
      <c r="K167" s="18">
        <f t="shared" si="4"/>
        <v>5.9161255193007191E-3</v>
      </c>
      <c r="L167">
        <f t="shared" si="5"/>
        <v>227580.93023255814</v>
      </c>
    </row>
    <row r="168" spans="1:12" x14ac:dyDescent="0.3">
      <c r="A168" s="13">
        <v>43971</v>
      </c>
      <c r="B168" s="16" t="s">
        <v>13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I168" t="s">
        <v>48</v>
      </c>
      <c r="J168">
        <v>21</v>
      </c>
      <c r="K168" s="18">
        <f t="shared" si="4"/>
        <v>5.4253025269576053E-4</v>
      </c>
      <c r="L168">
        <f t="shared" si="5"/>
        <v>141696.31578947368</v>
      </c>
    </row>
    <row r="169" spans="1:12" x14ac:dyDescent="0.3">
      <c r="A169" s="13">
        <v>43956</v>
      </c>
      <c r="B169" s="16" t="s">
        <v>13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I169" t="s">
        <v>44</v>
      </c>
      <c r="J169">
        <v>19</v>
      </c>
      <c r="K169" s="18">
        <f t="shared" si="4"/>
        <v>4.1913531629240899E-4</v>
      </c>
      <c r="L169">
        <f t="shared" si="5"/>
        <v>109468.42105263157</v>
      </c>
    </row>
    <row r="170" spans="1:12" x14ac:dyDescent="0.3">
      <c r="A170" s="13">
        <v>43956</v>
      </c>
      <c r="B170" s="16" t="s">
        <v>16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I170" t="s">
        <v>44</v>
      </c>
      <c r="J170">
        <v>19</v>
      </c>
      <c r="K170" s="18">
        <f t="shared" si="4"/>
        <v>1.1628620072804854E-3</v>
      </c>
      <c r="L170">
        <f t="shared" si="5"/>
        <v>160292.75</v>
      </c>
    </row>
    <row r="171" spans="1:12" x14ac:dyDescent="0.3">
      <c r="A171" s="13">
        <v>43964</v>
      </c>
      <c r="B171" s="16" t="s">
        <v>13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I171" t="s">
        <v>48</v>
      </c>
      <c r="J171">
        <v>20</v>
      </c>
      <c r="K171" s="18">
        <f t="shared" si="4"/>
        <v>4.7826797621574848E-4</v>
      </c>
      <c r="L171">
        <f t="shared" si="5"/>
        <v>124912.5</v>
      </c>
    </row>
    <row r="172" spans="1:12" x14ac:dyDescent="0.3">
      <c r="A172" s="13">
        <v>43956</v>
      </c>
      <c r="B172" s="16" t="s">
        <v>17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I172" t="s">
        <v>44</v>
      </c>
      <c r="J172">
        <v>19</v>
      </c>
      <c r="K172" s="18">
        <f t="shared" si="4"/>
        <v>5.337557972209761E-4</v>
      </c>
      <c r="L172">
        <f t="shared" si="5"/>
        <v>132434.4</v>
      </c>
    </row>
    <row r="173" spans="1:12" x14ac:dyDescent="0.3">
      <c r="A173" s="13">
        <v>43957</v>
      </c>
      <c r="B173" s="16" t="s">
        <v>13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I173" t="s">
        <v>48</v>
      </c>
      <c r="J173">
        <v>19</v>
      </c>
      <c r="K173" s="18">
        <f t="shared" si="4"/>
        <v>4.4989064723968106E-4</v>
      </c>
      <c r="L173">
        <f t="shared" si="5"/>
        <v>117501</v>
      </c>
    </row>
    <row r="174" spans="1:12" x14ac:dyDescent="0.3">
      <c r="A174" s="13">
        <v>43956</v>
      </c>
      <c r="B174" s="16" t="s">
        <v>20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I174" t="s">
        <v>44</v>
      </c>
      <c r="J174">
        <v>19</v>
      </c>
      <c r="K174" s="18">
        <f t="shared" si="4"/>
        <v>4.7967778951099426E-4</v>
      </c>
      <c r="L174">
        <f t="shared" si="5"/>
        <v>125280.71052631579</v>
      </c>
    </row>
    <row r="175" spans="1:12" x14ac:dyDescent="0.3">
      <c r="A175" s="13">
        <v>43974</v>
      </c>
      <c r="B175" s="16" t="s">
        <v>13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I175" t="s">
        <v>45</v>
      </c>
      <c r="J175">
        <v>21</v>
      </c>
      <c r="K175" s="18">
        <f t="shared" si="4"/>
        <v>6.8221028585755241E-4</v>
      </c>
      <c r="L175">
        <f t="shared" si="5"/>
        <v>169268.625</v>
      </c>
    </row>
    <row r="176" spans="1:12" x14ac:dyDescent="0.3">
      <c r="A176" s="13">
        <v>43956</v>
      </c>
      <c r="B176" s="16" t="s">
        <v>22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I176" t="s">
        <v>44</v>
      </c>
      <c r="J176">
        <v>19</v>
      </c>
      <c r="K176" s="18">
        <f t="shared" si="4"/>
        <v>4.2077047603096647E-3</v>
      </c>
      <c r="L176">
        <f t="shared" si="5"/>
        <v>386669.30555555556</v>
      </c>
    </row>
    <row r="177" spans="1:12" x14ac:dyDescent="0.3">
      <c r="A177" s="13">
        <v>43976</v>
      </c>
      <c r="B177" s="16" t="s">
        <v>13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I177" t="s">
        <v>47</v>
      </c>
      <c r="J177">
        <v>22</v>
      </c>
      <c r="K177" s="18">
        <f t="shared" si="4"/>
        <v>5.7749295741158445E-4</v>
      </c>
      <c r="L177">
        <f t="shared" si="5"/>
        <v>143286.375</v>
      </c>
    </row>
    <row r="178" spans="1:12" x14ac:dyDescent="0.3">
      <c r="A178" s="13">
        <v>43956</v>
      </c>
      <c r="B178" s="16" t="s">
        <v>21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I178" t="s">
        <v>44</v>
      </c>
      <c r="J178">
        <v>19</v>
      </c>
      <c r="K178" s="18">
        <f t="shared" si="4"/>
        <v>4.4171400217527567E-3</v>
      </c>
      <c r="L178">
        <f t="shared" si="5"/>
        <v>371515.85593220341</v>
      </c>
    </row>
    <row r="179" spans="1:12" x14ac:dyDescent="0.3">
      <c r="A179" s="13">
        <v>43961</v>
      </c>
      <c r="B179" s="16" t="s">
        <v>13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I179" t="s">
        <v>43</v>
      </c>
      <c r="J179">
        <v>19</v>
      </c>
      <c r="K179" s="18">
        <f t="shared" si="4"/>
        <v>5.7680195544054411E-4</v>
      </c>
      <c r="L179">
        <f t="shared" si="5"/>
        <v>150647.28947368421</v>
      </c>
    </row>
    <row r="180" spans="1:12" x14ac:dyDescent="0.3">
      <c r="A180" s="13">
        <v>43956</v>
      </c>
      <c r="B180" s="16" t="s">
        <v>23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I180" t="s">
        <v>44</v>
      </c>
      <c r="J180">
        <v>19</v>
      </c>
      <c r="K180" s="18">
        <f t="shared" si="4"/>
        <v>2.3085299751398364E-4</v>
      </c>
      <c r="L180">
        <f t="shared" si="5"/>
        <v>76371.7</v>
      </c>
    </row>
    <row r="181" spans="1:12" x14ac:dyDescent="0.3">
      <c r="A181" s="13">
        <v>43959</v>
      </c>
      <c r="B181" s="16" t="s">
        <v>13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I181" t="s">
        <v>49</v>
      </c>
      <c r="J181">
        <v>19</v>
      </c>
      <c r="K181" s="18">
        <f t="shared" si="4"/>
        <v>4.5773681441478711E-4</v>
      </c>
      <c r="L181">
        <f t="shared" si="5"/>
        <v>119550.23684210527</v>
      </c>
    </row>
    <row r="182" spans="1:12" x14ac:dyDescent="0.3">
      <c r="A182" s="13">
        <v>43956</v>
      </c>
      <c r="B182" s="16" t="s">
        <v>18</v>
      </c>
      <c r="C182">
        <v>15987</v>
      </c>
      <c r="D182">
        <v>1384179</v>
      </c>
      <c r="E182">
        <v>15</v>
      </c>
      <c r="F182">
        <v>922</v>
      </c>
      <c r="G182">
        <v>823</v>
      </c>
      <c r="I182" t="s">
        <v>44</v>
      </c>
      <c r="J182">
        <v>19</v>
      </c>
      <c r="K182" s="18">
        <f t="shared" si="4"/>
        <v>2.7893567141223637E-4</v>
      </c>
      <c r="L182">
        <f t="shared" si="5"/>
        <v>92278.6</v>
      </c>
    </row>
    <row r="183" spans="1:12" x14ac:dyDescent="0.3">
      <c r="A183" s="13">
        <v>43958</v>
      </c>
      <c r="B183" s="16" t="s">
        <v>13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I183" t="s">
        <v>46</v>
      </c>
      <c r="J183">
        <v>19</v>
      </c>
      <c r="K183" s="18">
        <f t="shared" si="4"/>
        <v>4.7370059223393807E-4</v>
      </c>
      <c r="L183">
        <f t="shared" si="5"/>
        <v>123719.60526315789</v>
      </c>
    </row>
    <row r="184" spans="1:12" x14ac:dyDescent="0.3">
      <c r="A184" s="13">
        <v>43956</v>
      </c>
      <c r="B184" s="16" t="s">
        <v>19</v>
      </c>
      <c r="C184">
        <v>8223</v>
      </c>
      <c r="D184">
        <v>694593</v>
      </c>
      <c r="E184">
        <v>15</v>
      </c>
      <c r="F184">
        <v>455</v>
      </c>
      <c r="G184">
        <v>381</v>
      </c>
      <c r="I184" t="s">
        <v>44</v>
      </c>
      <c r="J184">
        <v>19</v>
      </c>
      <c r="K184" s="18">
        <f t="shared" si="4"/>
        <v>1.3997233364560472E-4</v>
      </c>
      <c r="L184">
        <f t="shared" si="5"/>
        <v>46306.2</v>
      </c>
    </row>
    <row r="185" spans="1:12" x14ac:dyDescent="0.3">
      <c r="A185" s="13">
        <v>43975</v>
      </c>
      <c r="B185" s="16" t="s">
        <v>13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I185" t="s">
        <v>43</v>
      </c>
      <c r="J185">
        <v>21</v>
      </c>
      <c r="K185" s="18">
        <f t="shared" si="4"/>
        <v>5.8752971569960781E-4</v>
      </c>
      <c r="L185">
        <f t="shared" si="5"/>
        <v>145776.67499999999</v>
      </c>
    </row>
    <row r="186" spans="1:12" x14ac:dyDescent="0.3">
      <c r="A186" s="13">
        <v>43956</v>
      </c>
      <c r="B186" s="16" t="s">
        <v>15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I186" t="s">
        <v>44</v>
      </c>
      <c r="J186">
        <v>19</v>
      </c>
      <c r="K186" s="18">
        <f t="shared" si="4"/>
        <v>7.1884626726230489E-3</v>
      </c>
      <c r="L186">
        <f t="shared" si="5"/>
        <v>285373.87199999997</v>
      </c>
    </row>
    <row r="187" spans="1:12" x14ac:dyDescent="0.3">
      <c r="A187" s="13">
        <v>43982</v>
      </c>
      <c r="B187" s="16" t="s">
        <v>13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I187" t="s">
        <v>43</v>
      </c>
      <c r="J187">
        <v>22</v>
      </c>
      <c r="K187" s="18">
        <f t="shared" si="4"/>
        <v>6.029388178333436E-4</v>
      </c>
      <c r="L187">
        <f t="shared" si="5"/>
        <v>149599.95000000001</v>
      </c>
    </row>
    <row r="188" spans="1:12" x14ac:dyDescent="0.3">
      <c r="A188" s="13">
        <v>43956</v>
      </c>
      <c r="B188" s="16" t="s">
        <v>14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I188" t="s">
        <v>44</v>
      </c>
      <c r="J188">
        <v>19</v>
      </c>
      <c r="K188" s="18">
        <f t="shared" si="4"/>
        <v>5.4970710405661035E-3</v>
      </c>
      <c r="L188">
        <f t="shared" si="5"/>
        <v>211460.78406976743</v>
      </c>
    </row>
    <row r="189" spans="1:12" x14ac:dyDescent="0.3">
      <c r="A189" s="13">
        <v>43981</v>
      </c>
      <c r="B189" s="16" t="s">
        <v>13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I189" t="s">
        <v>45</v>
      </c>
      <c r="J189">
        <v>22</v>
      </c>
      <c r="K189" s="18">
        <f t="shared" si="4"/>
        <v>7.3637686031185405E-4</v>
      </c>
      <c r="L189">
        <f t="shared" si="5"/>
        <v>182708.32500000001</v>
      </c>
    </row>
    <row r="190" spans="1:12" x14ac:dyDescent="0.3">
      <c r="A190" s="13">
        <v>43979</v>
      </c>
      <c r="B190" s="16" t="s">
        <v>13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I190" t="s">
        <v>46</v>
      </c>
      <c r="J190">
        <v>22</v>
      </c>
      <c r="K190" s="18">
        <f t="shared" si="4"/>
        <v>6.0540024786404393E-4</v>
      </c>
      <c r="L190">
        <f t="shared" si="5"/>
        <v>150210.67499999999</v>
      </c>
    </row>
    <row r="191" spans="1:12" x14ac:dyDescent="0.3">
      <c r="A191" s="13">
        <v>43957</v>
      </c>
      <c r="B191" s="16" t="s">
        <v>16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I191" t="s">
        <v>48</v>
      </c>
      <c r="J191">
        <v>19</v>
      </c>
      <c r="K191" s="18">
        <f t="shared" si="4"/>
        <v>1.0990984855039801E-3</v>
      </c>
      <c r="L191">
        <f t="shared" si="5"/>
        <v>151503.375</v>
      </c>
    </row>
    <row r="192" spans="1:12" x14ac:dyDescent="0.3">
      <c r="A192" s="13">
        <v>43967</v>
      </c>
      <c r="B192" s="16" t="s">
        <v>14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I192" t="s">
        <v>45</v>
      </c>
      <c r="J192">
        <v>20</v>
      </c>
      <c r="K192" s="18">
        <f t="shared" si="4"/>
        <v>6.4960762794360688E-3</v>
      </c>
      <c r="L192">
        <f t="shared" si="5"/>
        <v>249890.41860465117</v>
      </c>
    </row>
    <row r="193" spans="1:12" x14ac:dyDescent="0.3">
      <c r="A193" s="13">
        <v>43970</v>
      </c>
      <c r="B193" s="16" t="s">
        <v>14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I193" t="s">
        <v>44</v>
      </c>
      <c r="J193">
        <v>21</v>
      </c>
      <c r="K193" s="18">
        <f t="shared" si="4"/>
        <v>5.459827234361077E-3</v>
      </c>
      <c r="L193">
        <f t="shared" si="5"/>
        <v>210028.09302325582</v>
      </c>
    </row>
    <row r="194" spans="1:12" x14ac:dyDescent="0.3">
      <c r="A194" s="13">
        <v>43957</v>
      </c>
      <c r="B194" s="16" t="s">
        <v>17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I194" t="s">
        <v>48</v>
      </c>
      <c r="J194">
        <v>19</v>
      </c>
      <c r="K194" s="18">
        <f t="shared" ref="K194:K257" si="6" xml:space="preserve"> D194/SUM($D$2:$D$505)</f>
        <v>5.5177928082782103E-4</v>
      </c>
      <c r="L194">
        <f t="shared" ref="L194:L257" si="7">D194/E194</f>
        <v>136906.35</v>
      </c>
    </row>
    <row r="195" spans="1:12" x14ac:dyDescent="0.3">
      <c r="A195" s="13">
        <v>43968</v>
      </c>
      <c r="B195" s="16" t="s">
        <v>14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I195" t="s">
        <v>43</v>
      </c>
      <c r="J195">
        <v>20</v>
      </c>
      <c r="K195" s="18">
        <f t="shared" si="6"/>
        <v>5.3724305988033759E-3</v>
      </c>
      <c r="L195">
        <f t="shared" si="7"/>
        <v>206666.12790697673</v>
      </c>
    </row>
    <row r="196" spans="1:12" x14ac:dyDescent="0.3">
      <c r="A196" s="13">
        <v>43960</v>
      </c>
      <c r="B196" s="16" t="s">
        <v>14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I196" t="s">
        <v>45</v>
      </c>
      <c r="J196">
        <v>19</v>
      </c>
      <c r="K196" s="18">
        <f t="shared" si="6"/>
        <v>5.9987997035051551E-3</v>
      </c>
      <c r="L196">
        <f t="shared" si="7"/>
        <v>230761.23255813954</v>
      </c>
    </row>
    <row r="197" spans="1:12" x14ac:dyDescent="0.3">
      <c r="A197" s="13">
        <v>43957</v>
      </c>
      <c r="B197" s="16" t="s">
        <v>20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I197" t="s">
        <v>48</v>
      </c>
      <c r="J197">
        <v>19</v>
      </c>
      <c r="K197" s="18">
        <f t="shared" si="6"/>
        <v>4.3514594682613178E-4</v>
      </c>
      <c r="L197">
        <f t="shared" si="7"/>
        <v>113650.02631578948</v>
      </c>
    </row>
    <row r="198" spans="1:12" x14ac:dyDescent="0.3">
      <c r="A198" s="13">
        <v>43957</v>
      </c>
      <c r="B198" s="16" t="s">
        <v>22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I198" t="s">
        <v>48</v>
      </c>
      <c r="J198">
        <v>19</v>
      </c>
      <c r="K198" s="18">
        <f t="shared" si="6"/>
        <v>4.4588558651540615E-3</v>
      </c>
      <c r="L198">
        <f t="shared" si="7"/>
        <v>409748.97222222225</v>
      </c>
    </row>
    <row r="199" spans="1:12" x14ac:dyDescent="0.3">
      <c r="A199" s="13">
        <v>43957</v>
      </c>
      <c r="B199" s="16" t="s">
        <v>21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I199" t="s">
        <v>48</v>
      </c>
      <c r="J199">
        <v>19</v>
      </c>
      <c r="K199" s="18">
        <f t="shared" si="6"/>
        <v>4.6415406447812523E-3</v>
      </c>
      <c r="L199">
        <f t="shared" si="7"/>
        <v>390389.69491525425</v>
      </c>
    </row>
    <row r="200" spans="1:12" x14ac:dyDescent="0.3">
      <c r="A200" s="13">
        <v>43977</v>
      </c>
      <c r="B200" s="16" t="s">
        <v>14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I200" t="s">
        <v>44</v>
      </c>
      <c r="J200">
        <v>22</v>
      </c>
      <c r="K200" s="18">
        <f t="shared" si="6"/>
        <v>5.6168077883224938E-3</v>
      </c>
      <c r="L200">
        <f t="shared" si="7"/>
        <v>216066.80541744188</v>
      </c>
    </row>
    <row r="201" spans="1:12" x14ac:dyDescent="0.3">
      <c r="A201" s="13">
        <v>43957</v>
      </c>
      <c r="B201" s="16" t="s">
        <v>23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I201" t="s">
        <v>48</v>
      </c>
      <c r="J201">
        <v>19</v>
      </c>
      <c r="K201" s="18">
        <f t="shared" si="6"/>
        <v>2.0485548416258818E-4</v>
      </c>
      <c r="L201">
        <f t="shared" si="7"/>
        <v>67771.100000000006</v>
      </c>
    </row>
    <row r="202" spans="1:12" x14ac:dyDescent="0.3">
      <c r="A202" s="13">
        <v>43957</v>
      </c>
      <c r="B202" s="16" t="s">
        <v>18</v>
      </c>
      <c r="C202">
        <v>14061</v>
      </c>
      <c r="D202">
        <v>1221057</v>
      </c>
      <c r="E202">
        <v>15</v>
      </c>
      <c r="F202">
        <v>839</v>
      </c>
      <c r="G202">
        <v>733</v>
      </c>
      <c r="I202" t="s">
        <v>48</v>
      </c>
      <c r="J202">
        <v>19</v>
      </c>
      <c r="K202" s="18">
        <f t="shared" si="6"/>
        <v>2.4606380686862831E-4</v>
      </c>
      <c r="L202">
        <f t="shared" si="7"/>
        <v>81403.8</v>
      </c>
    </row>
    <row r="203" spans="1:12" x14ac:dyDescent="0.3">
      <c r="A203" s="13">
        <v>43963</v>
      </c>
      <c r="B203" s="16" t="s">
        <v>14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I203" t="s">
        <v>44</v>
      </c>
      <c r="J203">
        <v>20</v>
      </c>
      <c r="K203" s="18">
        <f t="shared" si="6"/>
        <v>5.8525630107835059E-3</v>
      </c>
      <c r="L203">
        <f t="shared" si="7"/>
        <v>225135.81395348837</v>
      </c>
    </row>
    <row r="204" spans="1:12" x14ac:dyDescent="0.3">
      <c r="A204" s="13">
        <v>43957</v>
      </c>
      <c r="B204" s="16" t="s">
        <v>19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I204" t="s">
        <v>48</v>
      </c>
      <c r="J204">
        <v>19</v>
      </c>
      <c r="K204" s="18">
        <f t="shared" si="6"/>
        <v>1.4897984359093681E-4</v>
      </c>
      <c r="L204">
        <f t="shared" si="7"/>
        <v>49286.1</v>
      </c>
    </row>
    <row r="205" spans="1:12" x14ac:dyDescent="0.3">
      <c r="A205" s="13">
        <v>43972</v>
      </c>
      <c r="B205" s="16" t="s">
        <v>14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I205" t="s">
        <v>46</v>
      </c>
      <c r="J205">
        <v>21</v>
      </c>
      <c r="K205" s="18">
        <f t="shared" si="6"/>
        <v>5.6128342954761467E-3</v>
      </c>
      <c r="L205">
        <f t="shared" si="7"/>
        <v>215913.95348837209</v>
      </c>
    </row>
    <row r="206" spans="1:12" x14ac:dyDescent="0.3">
      <c r="A206" s="13">
        <v>43957</v>
      </c>
      <c r="B206" s="16" t="s">
        <v>15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I206" t="s">
        <v>48</v>
      </c>
      <c r="J206">
        <v>19</v>
      </c>
      <c r="K206" s="18">
        <f t="shared" si="6"/>
        <v>7.676256863675777E-3</v>
      </c>
      <c r="L206">
        <f t="shared" si="7"/>
        <v>304738.75199999998</v>
      </c>
    </row>
    <row r="207" spans="1:12" x14ac:dyDescent="0.3">
      <c r="A207" s="13">
        <v>43971</v>
      </c>
      <c r="B207" s="16" t="s">
        <v>14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I207" t="s">
        <v>48</v>
      </c>
      <c r="J207">
        <v>21</v>
      </c>
      <c r="K207" s="18">
        <f t="shared" si="6"/>
        <v>5.9183082749167887E-3</v>
      </c>
      <c r="L207">
        <f t="shared" si="7"/>
        <v>227664.8962593023</v>
      </c>
    </row>
    <row r="208" spans="1:12" x14ac:dyDescent="0.3">
      <c r="A208" s="13">
        <v>43957</v>
      </c>
      <c r="B208" s="16" t="s">
        <v>14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I208" t="s">
        <v>48</v>
      </c>
      <c r="J208">
        <v>19</v>
      </c>
      <c r="K208" s="18">
        <f t="shared" si="6"/>
        <v>5.7978088338860008E-3</v>
      </c>
      <c r="L208">
        <f t="shared" si="7"/>
        <v>223029.53570232558</v>
      </c>
    </row>
    <row r="209" spans="1:12" x14ac:dyDescent="0.3">
      <c r="A209" s="13">
        <v>43958</v>
      </c>
      <c r="B209" s="16" t="s">
        <v>16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I209" t="s">
        <v>46</v>
      </c>
      <c r="J209">
        <v>19</v>
      </c>
      <c r="K209" s="18">
        <f t="shared" si="6"/>
        <v>1.2445365661488631E-3</v>
      </c>
      <c r="L209">
        <f t="shared" si="7"/>
        <v>171551.04166666666</v>
      </c>
    </row>
    <row r="210" spans="1:12" x14ac:dyDescent="0.3">
      <c r="A210" s="13">
        <v>43964</v>
      </c>
      <c r="B210" s="16" t="s">
        <v>14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I210" t="s">
        <v>48</v>
      </c>
      <c r="J210">
        <v>20</v>
      </c>
      <c r="K210" s="18">
        <f t="shared" si="6"/>
        <v>5.3336432012005995E-3</v>
      </c>
      <c r="L210">
        <f t="shared" si="7"/>
        <v>205174.05813953487</v>
      </c>
    </row>
    <row r="211" spans="1:12" x14ac:dyDescent="0.3">
      <c r="A211" s="13">
        <v>43958</v>
      </c>
      <c r="B211" s="16" t="s">
        <v>17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I211" t="s">
        <v>46</v>
      </c>
      <c r="J211">
        <v>19</v>
      </c>
      <c r="K211" s="18">
        <f t="shared" si="6"/>
        <v>5.9135259493309266E-4</v>
      </c>
      <c r="L211">
        <f t="shared" si="7"/>
        <v>139738.28571428571</v>
      </c>
    </row>
    <row r="212" spans="1:12" x14ac:dyDescent="0.3">
      <c r="A212" s="13">
        <v>43974</v>
      </c>
      <c r="B212" s="16" t="s">
        <v>14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I212" t="s">
        <v>45</v>
      </c>
      <c r="J212">
        <v>21</v>
      </c>
      <c r="K212" s="18">
        <f t="shared" si="6"/>
        <v>7.074039821794823E-3</v>
      </c>
      <c r="L212">
        <f t="shared" si="7"/>
        <v>272123.46288023255</v>
      </c>
    </row>
    <row r="213" spans="1:12" x14ac:dyDescent="0.3">
      <c r="A213" s="13">
        <v>43958</v>
      </c>
      <c r="B213" s="16" t="s">
        <v>20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I213" t="s">
        <v>46</v>
      </c>
      <c r="J213">
        <v>19</v>
      </c>
      <c r="K213" s="18">
        <f t="shared" si="6"/>
        <v>4.6516916632377152E-4</v>
      </c>
      <c r="L213">
        <f t="shared" si="7"/>
        <v>121491.39473684211</v>
      </c>
    </row>
    <row r="214" spans="1:12" x14ac:dyDescent="0.3">
      <c r="A214" s="13">
        <v>43976</v>
      </c>
      <c r="B214" s="16" t="s">
        <v>14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I214" t="s">
        <v>47</v>
      </c>
      <c r="J214">
        <v>22</v>
      </c>
      <c r="K214" s="18">
        <f t="shared" si="6"/>
        <v>5.4743948012859868E-3</v>
      </c>
      <c r="L214">
        <f t="shared" si="7"/>
        <v>210588.47674418605</v>
      </c>
    </row>
    <row r="215" spans="1:12" x14ac:dyDescent="0.3">
      <c r="A215" s="13">
        <v>43958</v>
      </c>
      <c r="B215" s="16" t="s">
        <v>22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I215" t="s">
        <v>46</v>
      </c>
      <c r="J215">
        <v>19</v>
      </c>
      <c r="K215" s="18">
        <f t="shared" si="6"/>
        <v>4.3251651202924415E-3</v>
      </c>
      <c r="L215">
        <f t="shared" si="7"/>
        <v>397463.38888888888</v>
      </c>
    </row>
    <row r="216" spans="1:12" x14ac:dyDescent="0.3">
      <c r="A216" s="13">
        <v>43958</v>
      </c>
      <c r="B216" s="16" t="s">
        <v>21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I216" t="s">
        <v>46</v>
      </c>
      <c r="J216">
        <v>19</v>
      </c>
      <c r="K216" s="18">
        <f t="shared" si="6"/>
        <v>4.5260991833831546E-3</v>
      </c>
      <c r="L216">
        <f t="shared" si="7"/>
        <v>380680.16949152545</v>
      </c>
    </row>
    <row r="217" spans="1:12" x14ac:dyDescent="0.3">
      <c r="A217" s="13">
        <v>43961</v>
      </c>
      <c r="B217" s="16" t="s">
        <v>14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I217" t="s">
        <v>43</v>
      </c>
      <c r="J217">
        <v>19</v>
      </c>
      <c r="K217" s="18">
        <f t="shared" si="6"/>
        <v>5.9520431339379586E-3</v>
      </c>
      <c r="L217">
        <f t="shared" si="7"/>
        <v>228962.6054732558</v>
      </c>
    </row>
    <row r="218" spans="1:12" x14ac:dyDescent="0.3">
      <c r="A218" s="13">
        <v>43959</v>
      </c>
      <c r="B218" s="16" t="s">
        <v>14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I218" t="s">
        <v>49</v>
      </c>
      <c r="J218">
        <v>19</v>
      </c>
      <c r="K218" s="18">
        <f t="shared" si="6"/>
        <v>7.6760981689973883E-3</v>
      </c>
      <c r="L218">
        <f t="shared" si="7"/>
        <v>295283.38372093026</v>
      </c>
    </row>
    <row r="219" spans="1:12" x14ac:dyDescent="0.3">
      <c r="A219" s="13">
        <v>43958</v>
      </c>
      <c r="B219" s="16" t="s">
        <v>23</v>
      </c>
      <c r="C219">
        <v>11719.5</v>
      </c>
      <c r="D219">
        <v>965880</v>
      </c>
      <c r="E219">
        <v>15</v>
      </c>
      <c r="F219">
        <v>676</v>
      </c>
      <c r="G219">
        <v>591</v>
      </c>
      <c r="I219" t="s">
        <v>46</v>
      </c>
      <c r="J219">
        <v>19</v>
      </c>
      <c r="K219" s="18">
        <f t="shared" si="6"/>
        <v>1.9464129011034762E-4</v>
      </c>
      <c r="L219">
        <f t="shared" si="7"/>
        <v>64392</v>
      </c>
    </row>
    <row r="220" spans="1:12" x14ac:dyDescent="0.3">
      <c r="A220" s="13">
        <v>43958</v>
      </c>
      <c r="B220" s="16" t="s">
        <v>14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I220" t="s">
        <v>46</v>
      </c>
      <c r="J220">
        <v>19</v>
      </c>
      <c r="K220" s="18">
        <f t="shared" si="6"/>
        <v>5.103473951043787E-3</v>
      </c>
      <c r="L220">
        <f t="shared" si="7"/>
        <v>196319.93023255814</v>
      </c>
    </row>
    <row r="221" spans="1:12" x14ac:dyDescent="0.3">
      <c r="A221" s="13">
        <v>43958</v>
      </c>
      <c r="B221" s="16" t="s">
        <v>18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I221" t="s">
        <v>46</v>
      </c>
      <c r="J221">
        <v>19</v>
      </c>
      <c r="K221" s="18">
        <f t="shared" si="6"/>
        <v>2.2648390631126441E-4</v>
      </c>
      <c r="L221">
        <f t="shared" si="7"/>
        <v>74926.3</v>
      </c>
    </row>
    <row r="222" spans="1:12" x14ac:dyDescent="0.3">
      <c r="A222" s="13">
        <v>43975</v>
      </c>
      <c r="B222" s="16" t="s">
        <v>14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I222" t="s">
        <v>43</v>
      </c>
      <c r="J222">
        <v>21</v>
      </c>
      <c r="K222" s="18">
        <f t="shared" si="6"/>
        <v>5.6804702696809104E-3</v>
      </c>
      <c r="L222">
        <f t="shared" si="7"/>
        <v>218515.76744186046</v>
      </c>
    </row>
    <row r="223" spans="1:12" x14ac:dyDescent="0.3">
      <c r="A223" s="13">
        <v>43958</v>
      </c>
      <c r="B223" s="16" t="s">
        <v>19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I223" t="s">
        <v>46</v>
      </c>
      <c r="J223">
        <v>19</v>
      </c>
      <c r="K223" s="18">
        <f t="shared" si="6"/>
        <v>1.5502233239281569E-4</v>
      </c>
      <c r="L223">
        <f t="shared" si="7"/>
        <v>51285.1</v>
      </c>
    </row>
    <row r="224" spans="1:12" x14ac:dyDescent="0.3">
      <c r="A224" s="13">
        <v>43967</v>
      </c>
      <c r="B224" s="16" t="s">
        <v>15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I224" t="s">
        <v>45</v>
      </c>
      <c r="J224">
        <v>20</v>
      </c>
      <c r="K224" s="18">
        <f t="shared" si="6"/>
        <v>8.528933345751338E-3</v>
      </c>
      <c r="L224">
        <f t="shared" si="7"/>
        <v>338589.04800000001</v>
      </c>
    </row>
    <row r="225" spans="1:12" x14ac:dyDescent="0.3">
      <c r="A225" s="13">
        <v>43958</v>
      </c>
      <c r="B225" s="16" t="s">
        <v>15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I225" t="s">
        <v>46</v>
      </c>
      <c r="J225">
        <v>19</v>
      </c>
      <c r="K225" s="18">
        <f t="shared" si="6"/>
        <v>6.8040195244042584E-3</v>
      </c>
      <c r="L225">
        <f t="shared" si="7"/>
        <v>270111.91200000001</v>
      </c>
    </row>
    <row r="226" spans="1:12" x14ac:dyDescent="0.3">
      <c r="A226" s="13">
        <v>43970</v>
      </c>
      <c r="B226" s="16" t="s">
        <v>15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I226" t="s">
        <v>44</v>
      </c>
      <c r="J226">
        <v>21</v>
      </c>
      <c r="K226" s="18">
        <f t="shared" si="6"/>
        <v>7.4608147819489965E-3</v>
      </c>
      <c r="L226">
        <f t="shared" si="7"/>
        <v>296185.94400000002</v>
      </c>
    </row>
    <row r="227" spans="1:12" x14ac:dyDescent="0.3">
      <c r="A227" s="13">
        <v>43968</v>
      </c>
      <c r="B227" s="16" t="s">
        <v>15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I227" t="s">
        <v>43</v>
      </c>
      <c r="J227">
        <v>20</v>
      </c>
      <c r="K227" s="18">
        <f t="shared" si="6"/>
        <v>7.4227933506605757E-3</v>
      </c>
      <c r="L227">
        <f t="shared" si="7"/>
        <v>294676.53600000002</v>
      </c>
    </row>
    <row r="228" spans="1:12" x14ac:dyDescent="0.3">
      <c r="A228" s="13">
        <v>43960</v>
      </c>
      <c r="B228" s="16" t="s">
        <v>15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I228" t="s">
        <v>45</v>
      </c>
      <c r="J228">
        <v>19</v>
      </c>
      <c r="K228" s="18">
        <f t="shared" si="6"/>
        <v>7.7973853377961621E-3</v>
      </c>
      <c r="L228">
        <f t="shared" si="7"/>
        <v>309547.41600000003</v>
      </c>
    </row>
    <row r="229" spans="1:12" x14ac:dyDescent="0.3">
      <c r="A229" s="13">
        <v>43959</v>
      </c>
      <c r="B229" s="16" t="s">
        <v>16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I229" t="s">
        <v>49</v>
      </c>
      <c r="J229">
        <v>19</v>
      </c>
      <c r="K229" s="18">
        <f t="shared" si="6"/>
        <v>1.0812817583924069E-3</v>
      </c>
      <c r="L229">
        <f t="shared" si="7"/>
        <v>149047.45833333334</v>
      </c>
    </row>
    <row r="230" spans="1:12" x14ac:dyDescent="0.3">
      <c r="A230" s="13">
        <v>43959</v>
      </c>
      <c r="B230" s="16" t="s">
        <v>17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I230" t="s">
        <v>49</v>
      </c>
      <c r="J230">
        <v>19</v>
      </c>
      <c r="K230" s="18">
        <f t="shared" si="6"/>
        <v>6.4512832706519157E-4</v>
      </c>
      <c r="L230">
        <f t="shared" si="7"/>
        <v>152445.64285714287</v>
      </c>
    </row>
    <row r="231" spans="1:12" x14ac:dyDescent="0.3">
      <c r="A231" s="13">
        <v>43977</v>
      </c>
      <c r="B231" s="16" t="s">
        <v>15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I231" t="s">
        <v>44</v>
      </c>
      <c r="J231">
        <v>22</v>
      </c>
      <c r="K231" s="18">
        <f t="shared" si="6"/>
        <v>7.7313952541129714E-3</v>
      </c>
      <c r="L231">
        <f t="shared" si="7"/>
        <v>309402.90725806454</v>
      </c>
    </row>
    <row r="232" spans="1:12" x14ac:dyDescent="0.3">
      <c r="A232" s="13">
        <v>43959</v>
      </c>
      <c r="B232" s="16" t="s">
        <v>20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I232" t="s">
        <v>49</v>
      </c>
      <c r="J232">
        <v>19</v>
      </c>
      <c r="K232" s="18">
        <f t="shared" si="6"/>
        <v>4.5058406741534438E-4</v>
      </c>
      <c r="L232">
        <f t="shared" si="7"/>
        <v>117682.10526315789</v>
      </c>
    </row>
    <row r="233" spans="1:12" x14ac:dyDescent="0.3">
      <c r="A233" s="13">
        <v>43959</v>
      </c>
      <c r="B233" s="16" t="s">
        <v>22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I233" t="s">
        <v>49</v>
      </c>
      <c r="J233">
        <v>19</v>
      </c>
      <c r="K233" s="18">
        <f t="shared" si="6"/>
        <v>4.6038743872968439E-3</v>
      </c>
      <c r="L233">
        <f t="shared" si="7"/>
        <v>423075.52777777775</v>
      </c>
    </row>
    <row r="234" spans="1:12" x14ac:dyDescent="0.3">
      <c r="A234" s="13">
        <v>43963</v>
      </c>
      <c r="B234" s="16" t="s">
        <v>15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I234" t="s">
        <v>44</v>
      </c>
      <c r="J234">
        <v>20</v>
      </c>
      <c r="K234" s="18">
        <f t="shared" si="6"/>
        <v>7.9757581563048522E-3</v>
      </c>
      <c r="L234">
        <f t="shared" si="7"/>
        <v>316628.61599999998</v>
      </c>
    </row>
    <row r="235" spans="1:12" x14ac:dyDescent="0.3">
      <c r="A235" s="13">
        <v>43959</v>
      </c>
      <c r="B235" s="16" t="s">
        <v>21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I235" t="s">
        <v>49</v>
      </c>
      <c r="J235">
        <v>19</v>
      </c>
      <c r="K235" s="18">
        <f t="shared" si="6"/>
        <v>4.8126198558712061E-3</v>
      </c>
      <c r="L235">
        <f t="shared" si="7"/>
        <v>404778.78813559323</v>
      </c>
    </row>
    <row r="236" spans="1:12" x14ac:dyDescent="0.3">
      <c r="A236" s="13">
        <v>43972</v>
      </c>
      <c r="B236" s="16" t="s">
        <v>15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I236" t="s">
        <v>46</v>
      </c>
      <c r="J236">
        <v>21</v>
      </c>
      <c r="K236" s="18">
        <f t="shared" si="6"/>
        <v>7.6379308534695696E-3</v>
      </c>
      <c r="L236">
        <f t="shared" si="7"/>
        <v>303217.25255999999</v>
      </c>
    </row>
    <row r="237" spans="1:12" x14ac:dyDescent="0.3">
      <c r="A237" s="13">
        <v>43971</v>
      </c>
      <c r="B237" s="16" t="s">
        <v>15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I237" t="s">
        <v>48</v>
      </c>
      <c r="J237">
        <v>21</v>
      </c>
      <c r="K237" s="18">
        <f t="shared" si="6"/>
        <v>7.987996689902176E-3</v>
      </c>
      <c r="L237">
        <f t="shared" si="7"/>
        <v>317114.47200000001</v>
      </c>
    </row>
    <row r="238" spans="1:12" x14ac:dyDescent="0.3">
      <c r="A238" s="13">
        <v>43959</v>
      </c>
      <c r="B238" s="16" t="s">
        <v>23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I238" t="s">
        <v>49</v>
      </c>
      <c r="J238">
        <v>19</v>
      </c>
      <c r="K238" s="18">
        <f t="shared" si="6"/>
        <v>2.1095782352888788E-4</v>
      </c>
      <c r="L238">
        <f t="shared" si="7"/>
        <v>69789.899999999994</v>
      </c>
    </row>
    <row r="239" spans="1:12" x14ac:dyDescent="0.3">
      <c r="A239" s="13">
        <v>43959</v>
      </c>
      <c r="B239" s="16" t="s">
        <v>18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I239" t="s">
        <v>49</v>
      </c>
      <c r="J239">
        <v>19</v>
      </c>
      <c r="K239" s="18">
        <f t="shared" si="6"/>
        <v>2.5588353129173174E-4</v>
      </c>
      <c r="L239">
        <f t="shared" si="7"/>
        <v>84652.4</v>
      </c>
    </row>
    <row r="240" spans="1:12" x14ac:dyDescent="0.3">
      <c r="A240" s="13">
        <v>43959</v>
      </c>
      <c r="B240" s="16" t="s">
        <v>19</v>
      </c>
      <c r="C240">
        <v>9058.5</v>
      </c>
      <c r="D240">
        <v>798759</v>
      </c>
      <c r="E240">
        <v>15</v>
      </c>
      <c r="F240">
        <v>492</v>
      </c>
      <c r="G240">
        <v>412</v>
      </c>
      <c r="I240" t="s">
        <v>49</v>
      </c>
      <c r="J240">
        <v>19</v>
      </c>
      <c r="K240" s="18">
        <f t="shared" si="6"/>
        <v>1.6096355887610381E-4</v>
      </c>
      <c r="L240">
        <f t="shared" si="7"/>
        <v>53250.6</v>
      </c>
    </row>
    <row r="241" spans="1:12" x14ac:dyDescent="0.3">
      <c r="A241" s="13">
        <v>43964</v>
      </c>
      <c r="B241" s="16" t="s">
        <v>15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I241" t="s">
        <v>48</v>
      </c>
      <c r="J241">
        <v>20</v>
      </c>
      <c r="K241" s="18">
        <f t="shared" si="6"/>
        <v>7.4958530555592909E-3</v>
      </c>
      <c r="L241">
        <f t="shared" si="7"/>
        <v>297576.924</v>
      </c>
    </row>
    <row r="242" spans="1:12" x14ac:dyDescent="0.3">
      <c r="A242" s="13">
        <v>43959</v>
      </c>
      <c r="B242" s="16" t="s">
        <v>15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I242" t="s">
        <v>49</v>
      </c>
      <c r="J242">
        <v>19</v>
      </c>
      <c r="K242" s="18">
        <f t="shared" si="6"/>
        <v>9.8991585153885269E-3</v>
      </c>
      <c r="L242">
        <f t="shared" si="7"/>
        <v>392985.44400000002</v>
      </c>
    </row>
    <row r="243" spans="1:12" x14ac:dyDescent="0.3">
      <c r="A243" s="13">
        <v>43982</v>
      </c>
      <c r="B243" s="16" t="s">
        <v>14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I243" t="s">
        <v>43</v>
      </c>
      <c r="J243">
        <v>22</v>
      </c>
      <c r="K243" s="18">
        <f t="shared" si="6"/>
        <v>5.9100449437760267E-3</v>
      </c>
      <c r="L243">
        <f t="shared" si="7"/>
        <v>227347.02325581395</v>
      </c>
    </row>
    <row r="244" spans="1:12" x14ac:dyDescent="0.3">
      <c r="A244" s="13">
        <v>43981</v>
      </c>
      <c r="B244" s="16" t="s">
        <v>14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I244" t="s">
        <v>45</v>
      </c>
      <c r="J244">
        <v>22</v>
      </c>
      <c r="K244" s="18">
        <f t="shared" si="6"/>
        <v>7.199094611523924E-3</v>
      </c>
      <c r="L244">
        <f t="shared" si="7"/>
        <v>276934.0581395349</v>
      </c>
    </row>
    <row r="245" spans="1:12" x14ac:dyDescent="0.3">
      <c r="A245" s="13">
        <v>43960</v>
      </c>
      <c r="B245" s="16" t="s">
        <v>16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I245" t="s">
        <v>45</v>
      </c>
      <c r="J245">
        <v>19</v>
      </c>
      <c r="K245" s="18">
        <f t="shared" si="6"/>
        <v>1.4616892253708829E-3</v>
      </c>
      <c r="L245">
        <f t="shared" si="7"/>
        <v>201484.08333333334</v>
      </c>
    </row>
    <row r="246" spans="1:12" x14ac:dyDescent="0.3">
      <c r="A246" s="13">
        <v>43974</v>
      </c>
      <c r="B246" s="16" t="s">
        <v>15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I246" t="s">
        <v>45</v>
      </c>
      <c r="J246">
        <v>21</v>
      </c>
      <c r="K246" s="18">
        <f t="shared" si="6"/>
        <v>9.3520194669567871E-3</v>
      </c>
      <c r="L246">
        <f t="shared" si="7"/>
        <v>371264.64</v>
      </c>
    </row>
    <row r="247" spans="1:12" x14ac:dyDescent="0.3">
      <c r="A247" s="13">
        <v>43960</v>
      </c>
      <c r="B247" s="16" t="s">
        <v>17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I247" t="s">
        <v>45</v>
      </c>
      <c r="J247">
        <v>19</v>
      </c>
      <c r="K247" s="18">
        <f t="shared" si="6"/>
        <v>6.2165844209605288E-4</v>
      </c>
      <c r="L247">
        <f t="shared" si="7"/>
        <v>146899.64285714287</v>
      </c>
    </row>
    <row r="248" spans="1:12" x14ac:dyDescent="0.3">
      <c r="A248" s="13">
        <v>43979</v>
      </c>
      <c r="B248" s="16" t="s">
        <v>14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I248" t="s">
        <v>46</v>
      </c>
      <c r="J248">
        <v>22</v>
      </c>
      <c r="K248" s="18">
        <f t="shared" si="6"/>
        <v>5.6729074858600688E-3</v>
      </c>
      <c r="L248">
        <f t="shared" si="7"/>
        <v>218224.84302325582</v>
      </c>
    </row>
    <row r="249" spans="1:12" x14ac:dyDescent="0.3">
      <c r="A249" s="13">
        <v>43976</v>
      </c>
      <c r="B249" s="16" t="s">
        <v>15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I249" t="s">
        <v>47</v>
      </c>
      <c r="J249">
        <v>22</v>
      </c>
      <c r="K249" s="18">
        <f t="shared" si="6"/>
        <v>7.4326396753345327E-3</v>
      </c>
      <c r="L249">
        <f t="shared" si="7"/>
        <v>297447</v>
      </c>
    </row>
    <row r="250" spans="1:12" x14ac:dyDescent="0.3">
      <c r="A250" s="13">
        <v>43960</v>
      </c>
      <c r="B250" s="16" t="s">
        <v>20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I250" t="s">
        <v>45</v>
      </c>
      <c r="J250">
        <v>19</v>
      </c>
      <c r="K250" s="18">
        <f t="shared" si="6"/>
        <v>4.806054732595168E-4</v>
      </c>
      <c r="L250">
        <f t="shared" si="7"/>
        <v>125523</v>
      </c>
    </row>
    <row r="251" spans="1:12" x14ac:dyDescent="0.3">
      <c r="A251" s="13">
        <v>43960</v>
      </c>
      <c r="B251" s="16" t="s">
        <v>22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I251" t="s">
        <v>45</v>
      </c>
      <c r="J251">
        <v>19</v>
      </c>
      <c r="K251" s="18">
        <f t="shared" si="6"/>
        <v>3.6445967953739489E-3</v>
      </c>
      <c r="L251">
        <f t="shared" si="7"/>
        <v>334922.19444444444</v>
      </c>
    </row>
    <row r="252" spans="1:12" x14ac:dyDescent="0.3">
      <c r="A252" s="13">
        <v>43961</v>
      </c>
      <c r="B252" s="16" t="s">
        <v>15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I252" t="s">
        <v>43</v>
      </c>
      <c r="J252">
        <v>19</v>
      </c>
      <c r="K252" s="18">
        <f t="shared" si="6"/>
        <v>7.8613565228946736E-3</v>
      </c>
      <c r="L252">
        <f t="shared" si="7"/>
        <v>312087</v>
      </c>
    </row>
    <row r="253" spans="1:12" x14ac:dyDescent="0.3">
      <c r="A253" s="13">
        <v>43960</v>
      </c>
      <c r="B253" s="16" t="s">
        <v>21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I253" t="s">
        <v>45</v>
      </c>
      <c r="J253">
        <v>19</v>
      </c>
      <c r="K253" s="18">
        <f t="shared" si="6"/>
        <v>3.8728819618538174E-3</v>
      </c>
      <c r="L253">
        <f t="shared" si="7"/>
        <v>325739.51694915252</v>
      </c>
    </row>
    <row r="254" spans="1:12" x14ac:dyDescent="0.3">
      <c r="A254" s="13">
        <v>43960</v>
      </c>
      <c r="B254" s="16" t="s">
        <v>23</v>
      </c>
      <c r="C254">
        <v>11745</v>
      </c>
      <c r="D254">
        <v>955801.5</v>
      </c>
      <c r="E254">
        <v>15</v>
      </c>
      <c r="F254">
        <v>654</v>
      </c>
      <c r="G254">
        <v>570</v>
      </c>
      <c r="I254" t="s">
        <v>45</v>
      </c>
      <c r="J254">
        <v>19</v>
      </c>
      <c r="K254" s="18">
        <f t="shared" si="6"/>
        <v>1.9261030050255249E-4</v>
      </c>
      <c r="L254">
        <f t="shared" si="7"/>
        <v>63720.1</v>
      </c>
    </row>
    <row r="255" spans="1:12" x14ac:dyDescent="0.3">
      <c r="A255" s="13">
        <v>43975</v>
      </c>
      <c r="B255" s="16" t="s">
        <v>15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I255" t="s">
        <v>43</v>
      </c>
      <c r="J255">
        <v>21</v>
      </c>
      <c r="K255" s="18">
        <f t="shared" si="6"/>
        <v>7.6962146087054938E-3</v>
      </c>
      <c r="L255">
        <f t="shared" si="7"/>
        <v>305531.05200000003</v>
      </c>
    </row>
    <row r="256" spans="1:12" x14ac:dyDescent="0.3">
      <c r="A256" s="13">
        <v>43960</v>
      </c>
      <c r="B256" s="16" t="s">
        <v>18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I256" t="s">
        <v>45</v>
      </c>
      <c r="J256">
        <v>19</v>
      </c>
      <c r="K256" s="18">
        <f t="shared" si="6"/>
        <v>2.4644165134098193E-4</v>
      </c>
      <c r="L256">
        <f t="shared" si="7"/>
        <v>81528.800000000003</v>
      </c>
    </row>
    <row r="257" spans="1:12" x14ac:dyDescent="0.3">
      <c r="A257" s="13">
        <v>43967</v>
      </c>
      <c r="B257" s="16" t="s">
        <v>16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I257" t="s">
        <v>45</v>
      </c>
      <c r="J257">
        <v>20</v>
      </c>
      <c r="K257" s="18">
        <f t="shared" si="6"/>
        <v>1.3405275009369302E-3</v>
      </c>
      <c r="L257">
        <f t="shared" si="7"/>
        <v>184782.75</v>
      </c>
    </row>
    <row r="258" spans="1:12" x14ac:dyDescent="0.3">
      <c r="A258" s="13">
        <v>43960</v>
      </c>
      <c r="B258" s="16" t="s">
        <v>19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I258" t="s">
        <v>45</v>
      </c>
      <c r="J258">
        <v>19</v>
      </c>
      <c r="K258" s="18">
        <f t="shared" ref="K258:K321" si="8" xml:space="preserve"> D258/SUM($D$2:$D$505)</f>
        <v>2.1788356156934055E-4</v>
      </c>
      <c r="L258">
        <f t="shared" ref="L258:L321" si="9">D258/E258</f>
        <v>72081.100000000006</v>
      </c>
    </row>
    <row r="259" spans="1:12" x14ac:dyDescent="0.3">
      <c r="A259" s="13">
        <v>43970</v>
      </c>
      <c r="B259" s="16" t="s">
        <v>16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I259" t="s">
        <v>44</v>
      </c>
      <c r="J259">
        <v>21</v>
      </c>
      <c r="K259" s="18">
        <f t="shared" si="8"/>
        <v>1.2440580639090746E-3</v>
      </c>
      <c r="L259">
        <f t="shared" si="9"/>
        <v>171485.08333333334</v>
      </c>
    </row>
    <row r="260" spans="1:12" x14ac:dyDescent="0.3">
      <c r="A260" s="13">
        <v>43968</v>
      </c>
      <c r="B260" s="16" t="s">
        <v>16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I260" t="s">
        <v>43</v>
      </c>
      <c r="J260">
        <v>20</v>
      </c>
      <c r="K260" s="18">
        <f t="shared" si="8"/>
        <v>1.1995912104734569E-3</v>
      </c>
      <c r="L260">
        <f t="shared" si="9"/>
        <v>165355.625</v>
      </c>
    </row>
    <row r="261" spans="1:12" x14ac:dyDescent="0.3">
      <c r="A261" s="13">
        <v>43961</v>
      </c>
      <c r="B261" s="16" t="s">
        <v>16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I261" t="s">
        <v>43</v>
      </c>
      <c r="J261">
        <v>19</v>
      </c>
      <c r="K261" s="18">
        <f t="shared" si="8"/>
        <v>1.5569347485838907E-3</v>
      </c>
      <c r="L261">
        <f t="shared" si="9"/>
        <v>214613.04166666666</v>
      </c>
    </row>
    <row r="262" spans="1:12" x14ac:dyDescent="0.3">
      <c r="A262" s="13">
        <v>43961</v>
      </c>
      <c r="B262" s="16" t="s">
        <v>17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I262" t="s">
        <v>43</v>
      </c>
      <c r="J262">
        <v>19</v>
      </c>
      <c r="K262" s="18">
        <f t="shared" si="8"/>
        <v>7.1520366518346937E-4</v>
      </c>
      <c r="L262">
        <f t="shared" si="9"/>
        <v>169004.64285714287</v>
      </c>
    </row>
    <row r="263" spans="1:12" x14ac:dyDescent="0.3">
      <c r="A263" s="13">
        <v>43977</v>
      </c>
      <c r="B263" s="16" t="s">
        <v>16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I263" t="s">
        <v>44</v>
      </c>
      <c r="J263">
        <v>22</v>
      </c>
      <c r="K263" s="18">
        <f t="shared" si="8"/>
        <v>1.1818953935930369E-3</v>
      </c>
      <c r="L263">
        <f t="shared" si="9"/>
        <v>162916.375</v>
      </c>
    </row>
    <row r="264" spans="1:12" x14ac:dyDescent="0.3">
      <c r="A264" s="13">
        <v>43961</v>
      </c>
      <c r="B264" s="16" t="s">
        <v>20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I264" t="s">
        <v>43</v>
      </c>
      <c r="J264">
        <v>19</v>
      </c>
      <c r="K264" s="18">
        <f t="shared" si="8"/>
        <v>5.5765219303050765E-4</v>
      </c>
      <c r="L264">
        <f t="shared" si="9"/>
        <v>145645.81578947368</v>
      </c>
    </row>
    <row r="265" spans="1:12" x14ac:dyDescent="0.3">
      <c r="A265" s="13">
        <v>43963</v>
      </c>
      <c r="B265" s="16" t="s">
        <v>16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I265" t="s">
        <v>44</v>
      </c>
      <c r="J265">
        <v>20</v>
      </c>
      <c r="K265" s="18">
        <f t="shared" si="8"/>
        <v>1.113007998495839E-3</v>
      </c>
      <c r="L265">
        <f t="shared" si="9"/>
        <v>153420.70833333334</v>
      </c>
    </row>
    <row r="266" spans="1:12" x14ac:dyDescent="0.3">
      <c r="A266" s="13">
        <v>43961</v>
      </c>
      <c r="B266" s="16" t="s">
        <v>22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I266" t="s">
        <v>43</v>
      </c>
      <c r="J266">
        <v>19</v>
      </c>
      <c r="K266" s="18">
        <f t="shared" si="8"/>
        <v>4.7243103480682997E-3</v>
      </c>
      <c r="L266">
        <f t="shared" si="9"/>
        <v>434143.05555555556</v>
      </c>
    </row>
    <row r="267" spans="1:12" x14ac:dyDescent="0.3">
      <c r="A267" s="13">
        <v>43972</v>
      </c>
      <c r="B267" s="16" t="s">
        <v>16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I267" t="s">
        <v>46</v>
      </c>
      <c r="J267">
        <v>21</v>
      </c>
      <c r="K267" s="18">
        <f t="shared" si="8"/>
        <v>1.1817131214195736E-3</v>
      </c>
      <c r="L267">
        <f t="shared" si="9"/>
        <v>162891.25</v>
      </c>
    </row>
    <row r="268" spans="1:12" x14ac:dyDescent="0.3">
      <c r="A268" s="13">
        <v>43961</v>
      </c>
      <c r="B268" s="16" t="s">
        <v>21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I268" t="s">
        <v>43</v>
      </c>
      <c r="J268">
        <v>19</v>
      </c>
      <c r="K268" s="18">
        <f t="shared" si="8"/>
        <v>5.0158409359841822E-3</v>
      </c>
      <c r="L268">
        <f t="shared" si="9"/>
        <v>421871.26271186443</v>
      </c>
    </row>
    <row r="269" spans="1:12" x14ac:dyDescent="0.3">
      <c r="A269" s="13">
        <v>43971</v>
      </c>
      <c r="B269" s="16" t="s">
        <v>16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I269" t="s">
        <v>48</v>
      </c>
      <c r="J269">
        <v>21</v>
      </c>
      <c r="K269" s="18">
        <f t="shared" si="8"/>
        <v>1.4351935618671363E-3</v>
      </c>
      <c r="L269">
        <f t="shared" si="9"/>
        <v>197831.83333333334</v>
      </c>
    </row>
    <row r="270" spans="1:12" x14ac:dyDescent="0.3">
      <c r="A270" s="13">
        <v>43961</v>
      </c>
      <c r="B270" s="16" t="s">
        <v>23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I270" t="s">
        <v>43</v>
      </c>
      <c r="J270">
        <v>19</v>
      </c>
      <c r="K270" s="18">
        <f t="shared" si="8"/>
        <v>2.4515698013497964E-4</v>
      </c>
      <c r="L270">
        <f t="shared" si="9"/>
        <v>81103.8</v>
      </c>
    </row>
    <row r="271" spans="1:12" x14ac:dyDescent="0.3">
      <c r="A271" s="13">
        <v>43961</v>
      </c>
      <c r="B271" s="16" t="s">
        <v>18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I271" t="s">
        <v>43</v>
      </c>
      <c r="J271">
        <v>19</v>
      </c>
      <c r="K271" s="18">
        <f t="shared" si="8"/>
        <v>2.965398987925577E-4</v>
      </c>
      <c r="L271">
        <f t="shared" si="9"/>
        <v>98102.5</v>
      </c>
    </row>
    <row r="272" spans="1:12" x14ac:dyDescent="0.3">
      <c r="A272" s="13">
        <v>43964</v>
      </c>
      <c r="B272" s="16" t="s">
        <v>16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I272" t="s">
        <v>48</v>
      </c>
      <c r="J272">
        <v>20</v>
      </c>
      <c r="K272" s="18">
        <f t="shared" si="8"/>
        <v>1.2763743459405339E-3</v>
      </c>
      <c r="L272">
        <f t="shared" si="9"/>
        <v>175939.66666666666</v>
      </c>
    </row>
    <row r="273" spans="1:12" x14ac:dyDescent="0.3">
      <c r="A273" s="13">
        <v>43961</v>
      </c>
      <c r="B273" s="16" t="s">
        <v>19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I273" t="s">
        <v>43</v>
      </c>
      <c r="J273">
        <v>19</v>
      </c>
      <c r="K273" s="18">
        <f t="shared" si="8"/>
        <v>2.4147496132078823E-4</v>
      </c>
      <c r="L273">
        <f t="shared" si="9"/>
        <v>79885.7</v>
      </c>
    </row>
    <row r="274" spans="1:12" x14ac:dyDescent="0.3">
      <c r="A274" s="13">
        <v>43982</v>
      </c>
      <c r="B274" s="16" t="s">
        <v>15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I274" t="s">
        <v>43</v>
      </c>
      <c r="J274">
        <v>22</v>
      </c>
      <c r="K274" s="18">
        <f t="shared" si="8"/>
        <v>7.9357773747205946E-3</v>
      </c>
      <c r="L274">
        <f t="shared" si="9"/>
        <v>317582.08064516127</v>
      </c>
    </row>
    <row r="275" spans="1:12" x14ac:dyDescent="0.3">
      <c r="A275" s="13">
        <v>43981</v>
      </c>
      <c r="B275" s="16" t="s">
        <v>15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I275" t="s">
        <v>45</v>
      </c>
      <c r="J275">
        <v>22</v>
      </c>
      <c r="K275" s="18">
        <f t="shared" si="8"/>
        <v>9.3445278690345371E-3</v>
      </c>
      <c r="L275">
        <f t="shared" si="9"/>
        <v>373958.90322580643</v>
      </c>
    </row>
    <row r="276" spans="1:12" x14ac:dyDescent="0.3">
      <c r="A276" s="13">
        <v>43962</v>
      </c>
      <c r="B276" s="16" t="s">
        <v>16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I276" t="s">
        <v>47</v>
      </c>
      <c r="J276">
        <v>20</v>
      </c>
      <c r="K276" s="18">
        <f t="shared" si="8"/>
        <v>1.0434894519920214E-3</v>
      </c>
      <c r="L276">
        <f t="shared" si="9"/>
        <v>143838.04166666666</v>
      </c>
    </row>
    <row r="277" spans="1:12" x14ac:dyDescent="0.3">
      <c r="A277" s="13">
        <v>43974</v>
      </c>
      <c r="B277" s="16" t="s">
        <v>16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I277" t="s">
        <v>45</v>
      </c>
      <c r="J277">
        <v>21</v>
      </c>
      <c r="K277" s="18">
        <f t="shared" si="8"/>
        <v>1.4455053909310331E-3</v>
      </c>
      <c r="L277">
        <f t="shared" si="9"/>
        <v>199253.25</v>
      </c>
    </row>
    <row r="278" spans="1:12" x14ac:dyDescent="0.3">
      <c r="A278" s="13">
        <v>43962</v>
      </c>
      <c r="B278" s="16" t="s">
        <v>11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I278" t="s">
        <v>47</v>
      </c>
      <c r="J278">
        <v>20</v>
      </c>
      <c r="K278" s="18">
        <f t="shared" si="8"/>
        <v>1.2894510897153253E-3</v>
      </c>
      <c r="L278">
        <f t="shared" si="9"/>
        <v>206410.30645161291</v>
      </c>
    </row>
    <row r="279" spans="1:12" x14ac:dyDescent="0.3">
      <c r="A279" s="13">
        <v>43979</v>
      </c>
      <c r="B279" s="16" t="s">
        <v>15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I279" t="s">
        <v>46</v>
      </c>
      <c r="J279">
        <v>22</v>
      </c>
      <c r="K279" s="18">
        <f t="shared" si="8"/>
        <v>7.6471063137714852E-3</v>
      </c>
      <c r="L279">
        <f t="shared" si="9"/>
        <v>306029.74596774194</v>
      </c>
    </row>
    <row r="280" spans="1:12" x14ac:dyDescent="0.3">
      <c r="A280" s="13">
        <v>43962</v>
      </c>
      <c r="B280" s="16" t="s">
        <v>17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I280" t="s">
        <v>47</v>
      </c>
      <c r="J280">
        <v>20</v>
      </c>
      <c r="K280" s="18">
        <f t="shared" si="8"/>
        <v>6.2059805936883969E-4</v>
      </c>
      <c r="L280">
        <f t="shared" si="9"/>
        <v>146649.07142857142</v>
      </c>
    </row>
    <row r="281" spans="1:12" x14ac:dyDescent="0.3">
      <c r="A281" s="13">
        <v>43976</v>
      </c>
      <c r="B281" s="16" t="s">
        <v>16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I281" t="s">
        <v>47</v>
      </c>
      <c r="J281">
        <v>22</v>
      </c>
      <c r="K281" s="18">
        <f t="shared" si="8"/>
        <v>1.1495842502464017E-3</v>
      </c>
      <c r="L281">
        <f t="shared" si="9"/>
        <v>158462.5</v>
      </c>
    </row>
    <row r="282" spans="1:12" x14ac:dyDescent="0.3">
      <c r="A282" s="13">
        <v>43962</v>
      </c>
      <c r="B282" s="16" t="s">
        <v>10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I282" t="s">
        <v>47</v>
      </c>
      <c r="J282">
        <v>20</v>
      </c>
      <c r="K282" s="18">
        <f t="shared" si="8"/>
        <v>4.9964067322553574E-4</v>
      </c>
      <c r="L282">
        <f t="shared" si="9"/>
        <v>118066.5</v>
      </c>
    </row>
    <row r="283" spans="1:12" x14ac:dyDescent="0.3">
      <c r="A283" s="13">
        <v>43962</v>
      </c>
      <c r="B283" s="16" t="s">
        <v>20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I283" t="s">
        <v>47</v>
      </c>
      <c r="J283">
        <v>20</v>
      </c>
      <c r="K283" s="18">
        <f t="shared" si="8"/>
        <v>4.3615645408299429E-4</v>
      </c>
      <c r="L283">
        <f t="shared" si="9"/>
        <v>113913.94736842105</v>
      </c>
    </row>
    <row r="284" spans="1:12" x14ac:dyDescent="0.3">
      <c r="A284" s="13">
        <v>43962</v>
      </c>
      <c r="B284" s="16" t="s">
        <v>22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I284" t="s">
        <v>47</v>
      </c>
      <c r="J284">
        <v>20</v>
      </c>
      <c r="K284" s="18">
        <f t="shared" si="8"/>
        <v>3.4199924386059603E-3</v>
      </c>
      <c r="L284">
        <f t="shared" si="9"/>
        <v>314282.05555555556</v>
      </c>
    </row>
    <row r="285" spans="1:12" x14ac:dyDescent="0.3">
      <c r="A285" s="13">
        <v>43962</v>
      </c>
      <c r="B285" s="16" t="s">
        <v>21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I285" t="s">
        <v>47</v>
      </c>
      <c r="J285">
        <v>20</v>
      </c>
      <c r="K285" s="18">
        <f t="shared" si="8"/>
        <v>3.6110130718444264E-3</v>
      </c>
      <c r="L285">
        <f t="shared" si="9"/>
        <v>298652.40000000002</v>
      </c>
    </row>
    <row r="286" spans="1:12" x14ac:dyDescent="0.3">
      <c r="A286" s="13">
        <v>43962</v>
      </c>
      <c r="B286" s="16" t="s">
        <v>13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I286" t="s">
        <v>47</v>
      </c>
      <c r="J286">
        <v>20</v>
      </c>
      <c r="K286" s="18">
        <f t="shared" si="8"/>
        <v>7.8833047526047492E-4</v>
      </c>
      <c r="L286">
        <f t="shared" si="9"/>
        <v>205893.63157894736</v>
      </c>
    </row>
    <row r="287" spans="1:12" x14ac:dyDescent="0.3">
      <c r="A287" s="13">
        <v>43975</v>
      </c>
      <c r="B287" s="16" t="s">
        <v>16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I287" t="s">
        <v>43</v>
      </c>
      <c r="J287">
        <v>21</v>
      </c>
      <c r="K287" s="18">
        <f t="shared" si="8"/>
        <v>1.2288986414026699E-3</v>
      </c>
      <c r="L287">
        <f t="shared" si="9"/>
        <v>169395.45833333334</v>
      </c>
    </row>
    <row r="288" spans="1:12" x14ac:dyDescent="0.3">
      <c r="A288" s="13">
        <v>43962</v>
      </c>
      <c r="B288" s="16" t="s">
        <v>23</v>
      </c>
      <c r="C288">
        <v>10941</v>
      </c>
      <c r="D288">
        <v>880356</v>
      </c>
      <c r="E288">
        <v>15</v>
      </c>
      <c r="F288">
        <v>654</v>
      </c>
      <c r="G288">
        <v>564</v>
      </c>
      <c r="I288" t="s">
        <v>47</v>
      </c>
      <c r="J288">
        <v>20</v>
      </c>
      <c r="K288" s="18">
        <f t="shared" si="8"/>
        <v>1.77406745761777E-4</v>
      </c>
      <c r="L288">
        <f t="shared" si="9"/>
        <v>58690.400000000001</v>
      </c>
    </row>
    <row r="289" spans="1:12" x14ac:dyDescent="0.3">
      <c r="A289" s="13">
        <v>43967</v>
      </c>
      <c r="B289" s="16" t="s">
        <v>17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I289" t="s">
        <v>45</v>
      </c>
      <c r="J289">
        <v>20</v>
      </c>
      <c r="K289" s="18">
        <f t="shared" si="8"/>
        <v>8.1113595850942715E-4</v>
      </c>
      <c r="L289">
        <f t="shared" si="9"/>
        <v>191673.71428571429</v>
      </c>
    </row>
    <row r="290" spans="1:12" x14ac:dyDescent="0.3">
      <c r="A290" s="13">
        <v>43962</v>
      </c>
      <c r="B290" s="16" t="s">
        <v>18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I290" t="s">
        <v>47</v>
      </c>
      <c r="J290">
        <v>20</v>
      </c>
      <c r="K290" s="18">
        <f t="shared" si="8"/>
        <v>2.2086309194053216E-4</v>
      </c>
      <c r="L290">
        <f t="shared" si="9"/>
        <v>73066.8</v>
      </c>
    </row>
    <row r="291" spans="1:12" x14ac:dyDescent="0.3">
      <c r="A291" s="13">
        <v>43970</v>
      </c>
      <c r="B291" s="16" t="s">
        <v>17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I291" t="s">
        <v>44</v>
      </c>
      <c r="J291">
        <v>21</v>
      </c>
      <c r="K291" s="18">
        <f t="shared" si="8"/>
        <v>7.1597749066284956E-4</v>
      </c>
      <c r="L291">
        <f t="shared" si="9"/>
        <v>169187.5</v>
      </c>
    </row>
    <row r="292" spans="1:12" x14ac:dyDescent="0.3">
      <c r="A292" s="13">
        <v>43962</v>
      </c>
      <c r="B292" s="16" t="s">
        <v>19</v>
      </c>
      <c r="C292">
        <v>12654</v>
      </c>
      <c r="D292">
        <v>1081158</v>
      </c>
      <c r="E292">
        <v>15</v>
      </c>
      <c r="F292">
        <v>684</v>
      </c>
      <c r="G292">
        <v>585</v>
      </c>
      <c r="I292" t="s">
        <v>47</v>
      </c>
      <c r="J292">
        <v>20</v>
      </c>
      <c r="K292" s="18">
        <f t="shared" si="8"/>
        <v>2.1787177282180312E-4</v>
      </c>
      <c r="L292">
        <f t="shared" si="9"/>
        <v>72077.2</v>
      </c>
    </row>
    <row r="293" spans="1:12" x14ac:dyDescent="0.3">
      <c r="A293" s="13">
        <v>43968</v>
      </c>
      <c r="B293" s="16" t="s">
        <v>17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I293" t="s">
        <v>43</v>
      </c>
      <c r="J293">
        <v>20</v>
      </c>
      <c r="K293" s="18">
        <f t="shared" si="8"/>
        <v>6.4307224858443218E-4</v>
      </c>
      <c r="L293">
        <f t="shared" si="9"/>
        <v>151959.78571428571</v>
      </c>
    </row>
    <row r="294" spans="1:12" x14ac:dyDescent="0.3">
      <c r="A294" s="13">
        <v>43962</v>
      </c>
      <c r="B294" s="16" t="s">
        <v>15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I294" t="s">
        <v>47</v>
      </c>
      <c r="J294">
        <v>20</v>
      </c>
      <c r="K294" s="18">
        <f t="shared" si="8"/>
        <v>6.8075646123816691E-3</v>
      </c>
      <c r="L294">
        <f t="shared" si="9"/>
        <v>270252.64799999999</v>
      </c>
    </row>
    <row r="295" spans="1:12" x14ac:dyDescent="0.3">
      <c r="A295" s="13">
        <v>43962</v>
      </c>
      <c r="B295" s="16" t="s">
        <v>14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I295" t="s">
        <v>47</v>
      </c>
      <c r="J295">
        <v>20</v>
      </c>
      <c r="K295" s="18">
        <f t="shared" si="8"/>
        <v>4.9630089533359767E-3</v>
      </c>
      <c r="L295">
        <f t="shared" si="9"/>
        <v>190916.53661976743</v>
      </c>
    </row>
    <row r="296" spans="1:12" x14ac:dyDescent="0.3">
      <c r="A296" s="13">
        <v>43962</v>
      </c>
      <c r="B296" s="16" t="s">
        <v>12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I296" t="s">
        <v>47</v>
      </c>
      <c r="J296">
        <v>20</v>
      </c>
      <c r="K296" s="18">
        <f t="shared" si="8"/>
        <v>1.4798112508161175E-4</v>
      </c>
      <c r="L296">
        <f t="shared" si="9"/>
        <v>73433.55</v>
      </c>
    </row>
    <row r="297" spans="1:12" x14ac:dyDescent="0.3">
      <c r="A297" s="13">
        <v>43977</v>
      </c>
      <c r="B297" s="16" t="s">
        <v>17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I297" t="s">
        <v>44</v>
      </c>
      <c r="J297">
        <v>22</v>
      </c>
      <c r="K297" s="18">
        <f t="shared" si="8"/>
        <v>7.4567576391426518E-4</v>
      </c>
      <c r="L297">
        <f t="shared" si="9"/>
        <v>176205.28571428571</v>
      </c>
    </row>
    <row r="298" spans="1:12" x14ac:dyDescent="0.3">
      <c r="A298" s="13">
        <v>43963</v>
      </c>
      <c r="B298" s="16" t="s">
        <v>17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I298" t="s">
        <v>44</v>
      </c>
      <c r="J298">
        <v>20</v>
      </c>
      <c r="K298" s="18">
        <f t="shared" si="8"/>
        <v>6.2079635214793089E-4</v>
      </c>
      <c r="L298">
        <f t="shared" si="9"/>
        <v>146695.92857142858</v>
      </c>
    </row>
    <row r="299" spans="1:12" x14ac:dyDescent="0.3">
      <c r="A299" s="13">
        <v>43963</v>
      </c>
      <c r="B299" s="16" t="s">
        <v>20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I299" t="s">
        <v>44</v>
      </c>
      <c r="J299">
        <v>20</v>
      </c>
      <c r="K299" s="18">
        <f t="shared" si="8"/>
        <v>4.5203499018918225E-4</v>
      </c>
      <c r="L299">
        <f t="shared" si="9"/>
        <v>118061.05263157895</v>
      </c>
    </row>
    <row r="300" spans="1:12" x14ac:dyDescent="0.3">
      <c r="A300" s="13">
        <v>43972</v>
      </c>
      <c r="B300" s="16" t="s">
        <v>17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I300" t="s">
        <v>46</v>
      </c>
      <c r="J300">
        <v>21</v>
      </c>
      <c r="K300" s="18">
        <f t="shared" si="8"/>
        <v>7.6785946629951232E-4</v>
      </c>
      <c r="L300">
        <f t="shared" si="9"/>
        <v>181447.35714285713</v>
      </c>
    </row>
    <row r="301" spans="1:12" x14ac:dyDescent="0.3">
      <c r="A301" s="13">
        <v>43963</v>
      </c>
      <c r="B301" s="16" t="s">
        <v>22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I301" t="s">
        <v>44</v>
      </c>
      <c r="J301">
        <v>20</v>
      </c>
      <c r="K301" s="18">
        <f t="shared" si="8"/>
        <v>3.7720035332469621E-3</v>
      </c>
      <c r="L301">
        <f t="shared" si="9"/>
        <v>346630.30555555556</v>
      </c>
    </row>
    <row r="302" spans="1:12" x14ac:dyDescent="0.3">
      <c r="A302" s="13">
        <v>43971</v>
      </c>
      <c r="B302" s="16" t="s">
        <v>17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I302" t="s">
        <v>48</v>
      </c>
      <c r="J302">
        <v>21</v>
      </c>
      <c r="K302" s="18">
        <f t="shared" si="8"/>
        <v>7.8974270676034379E-4</v>
      </c>
      <c r="L302">
        <f t="shared" si="9"/>
        <v>186618.42857142858</v>
      </c>
    </row>
    <row r="303" spans="1:12" x14ac:dyDescent="0.3">
      <c r="A303" s="13">
        <v>43963</v>
      </c>
      <c r="B303" s="16" t="s">
        <v>21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I303" t="s">
        <v>44</v>
      </c>
      <c r="J303">
        <v>20</v>
      </c>
      <c r="K303" s="18">
        <f t="shared" si="8"/>
        <v>3.8701711544713636E-3</v>
      </c>
      <c r="L303">
        <f t="shared" si="9"/>
        <v>320086.32500000001</v>
      </c>
    </row>
    <row r="304" spans="1:12" x14ac:dyDescent="0.3">
      <c r="A304" s="13">
        <v>43963</v>
      </c>
      <c r="B304" s="16" t="s">
        <v>23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I304" t="s">
        <v>44</v>
      </c>
      <c r="J304">
        <v>20</v>
      </c>
      <c r="K304" s="18">
        <f t="shared" si="8"/>
        <v>2.2011254168064897E-4</v>
      </c>
      <c r="L304">
        <f t="shared" si="9"/>
        <v>72818.5</v>
      </c>
    </row>
    <row r="305" spans="1:12" x14ac:dyDescent="0.3">
      <c r="A305" s="13">
        <v>43964</v>
      </c>
      <c r="B305" s="16" t="s">
        <v>17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I305" t="s">
        <v>48</v>
      </c>
      <c r="J305">
        <v>20</v>
      </c>
      <c r="K305" s="18">
        <f t="shared" si="8"/>
        <v>6.6260197139586757E-4</v>
      </c>
      <c r="L305">
        <f t="shared" si="9"/>
        <v>156574.71428571429</v>
      </c>
    </row>
    <row r="306" spans="1:12" x14ac:dyDescent="0.3">
      <c r="A306" s="13">
        <v>43963</v>
      </c>
      <c r="B306" s="16" t="s">
        <v>18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I306" t="s">
        <v>44</v>
      </c>
      <c r="J306">
        <v>20</v>
      </c>
      <c r="K306" s="18">
        <f t="shared" si="8"/>
        <v>2.2647090846141546E-4</v>
      </c>
      <c r="L306">
        <f t="shared" si="9"/>
        <v>74922</v>
      </c>
    </row>
    <row r="307" spans="1:12" x14ac:dyDescent="0.3">
      <c r="A307" s="13">
        <v>43982</v>
      </c>
      <c r="B307" s="16" t="s">
        <v>16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I307" t="s">
        <v>43</v>
      </c>
      <c r="J307">
        <v>22</v>
      </c>
      <c r="K307" s="18">
        <f t="shared" si="8"/>
        <v>1.3100318247110593E-3</v>
      </c>
      <c r="L307">
        <f t="shared" si="9"/>
        <v>175698.60810810811</v>
      </c>
    </row>
    <row r="308" spans="1:12" x14ac:dyDescent="0.3">
      <c r="A308" s="13">
        <v>43963</v>
      </c>
      <c r="B308" s="16" t="s">
        <v>19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I308" t="s">
        <v>44</v>
      </c>
      <c r="J308">
        <v>20</v>
      </c>
      <c r="K308" s="18">
        <f t="shared" si="8"/>
        <v>1.994278238861231E-4</v>
      </c>
      <c r="L308">
        <f t="shared" si="9"/>
        <v>65975.5</v>
      </c>
    </row>
    <row r="309" spans="1:12" x14ac:dyDescent="0.3">
      <c r="A309" s="13">
        <v>43981</v>
      </c>
      <c r="B309" s="16" t="s">
        <v>16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I309" t="s">
        <v>45</v>
      </c>
      <c r="J309">
        <v>22</v>
      </c>
      <c r="K309" s="18">
        <f t="shared" si="8"/>
        <v>1.8334800247262291E-3</v>
      </c>
      <c r="L309">
        <f t="shared" si="9"/>
        <v>245902.33783783784</v>
      </c>
    </row>
    <row r="310" spans="1:12" x14ac:dyDescent="0.3">
      <c r="A310" s="13">
        <v>43974</v>
      </c>
      <c r="B310" s="16" t="s">
        <v>17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I310" t="s">
        <v>45</v>
      </c>
      <c r="J310">
        <v>21</v>
      </c>
      <c r="K310" s="18">
        <f t="shared" si="8"/>
        <v>7.825340387789927E-4</v>
      </c>
      <c r="L310">
        <f t="shared" si="9"/>
        <v>184915</v>
      </c>
    </row>
    <row r="311" spans="1:12" x14ac:dyDescent="0.3">
      <c r="A311" s="13">
        <v>43979</v>
      </c>
      <c r="B311" s="16" t="s">
        <v>16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I311" t="s">
        <v>46</v>
      </c>
      <c r="J311">
        <v>22</v>
      </c>
      <c r="K311" s="18">
        <f t="shared" si="8"/>
        <v>1.2296431461509955E-3</v>
      </c>
      <c r="L311">
        <f t="shared" si="9"/>
        <v>164917.05405405405</v>
      </c>
    </row>
    <row r="312" spans="1:12" x14ac:dyDescent="0.3">
      <c r="A312" s="13">
        <v>43976</v>
      </c>
      <c r="B312" s="16" t="s">
        <v>17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I312" t="s">
        <v>47</v>
      </c>
      <c r="J312">
        <v>22</v>
      </c>
      <c r="K312" s="18">
        <f t="shared" si="8"/>
        <v>7.1773431632150494E-4</v>
      </c>
      <c r="L312">
        <f t="shared" si="9"/>
        <v>169602.64285714287</v>
      </c>
    </row>
    <row r="313" spans="1:12" x14ac:dyDescent="0.3">
      <c r="A313" s="13">
        <v>43964</v>
      </c>
      <c r="B313" s="16" t="s">
        <v>20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I313" t="s">
        <v>48</v>
      </c>
      <c r="J313">
        <v>20</v>
      </c>
      <c r="K313" s="18">
        <f t="shared" si="8"/>
        <v>4.5616437685864033E-4</v>
      </c>
      <c r="L313">
        <f t="shared" si="9"/>
        <v>119139.55263157895</v>
      </c>
    </row>
    <row r="314" spans="1:12" x14ac:dyDescent="0.3">
      <c r="A314" s="13">
        <v>43964</v>
      </c>
      <c r="B314" s="16" t="s">
        <v>22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I314" t="s">
        <v>48</v>
      </c>
      <c r="J314">
        <v>20</v>
      </c>
      <c r="K314" s="18">
        <f t="shared" si="8"/>
        <v>3.7852964040599396E-3</v>
      </c>
      <c r="L314">
        <f t="shared" si="9"/>
        <v>347851.86111111112</v>
      </c>
    </row>
    <row r="315" spans="1:12" x14ac:dyDescent="0.3">
      <c r="A315" s="13">
        <v>43964</v>
      </c>
      <c r="B315" s="16" t="s">
        <v>21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I315" t="s">
        <v>48</v>
      </c>
      <c r="J315">
        <v>20</v>
      </c>
      <c r="K315" s="18">
        <f t="shared" si="8"/>
        <v>3.9169419523616047E-3</v>
      </c>
      <c r="L315">
        <f t="shared" si="9"/>
        <v>323954.55</v>
      </c>
    </row>
    <row r="316" spans="1:12" x14ac:dyDescent="0.3">
      <c r="A316" s="13">
        <v>43975</v>
      </c>
      <c r="B316" s="16" t="s">
        <v>17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I316" t="s">
        <v>43</v>
      </c>
      <c r="J316">
        <v>21</v>
      </c>
      <c r="K316" s="18">
        <f t="shared" si="8"/>
        <v>6.9509327098692098E-4</v>
      </c>
      <c r="L316">
        <f t="shared" si="9"/>
        <v>164252.5</v>
      </c>
    </row>
    <row r="317" spans="1:12" x14ac:dyDescent="0.3">
      <c r="A317" s="13">
        <v>43982</v>
      </c>
      <c r="B317" s="16" t="s">
        <v>17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I317" t="s">
        <v>43</v>
      </c>
      <c r="J317">
        <v>22</v>
      </c>
      <c r="K317" s="18">
        <f t="shared" si="8"/>
        <v>8.0489003824363303E-4</v>
      </c>
      <c r="L317">
        <f t="shared" si="9"/>
        <v>173658.84782608695</v>
      </c>
    </row>
    <row r="318" spans="1:12" x14ac:dyDescent="0.3">
      <c r="A318" s="13">
        <v>43964</v>
      </c>
      <c r="B318" s="16" t="s">
        <v>23</v>
      </c>
      <c r="C318">
        <v>14643</v>
      </c>
      <c r="D318">
        <v>1172691</v>
      </c>
      <c r="E318">
        <v>15</v>
      </c>
      <c r="F318">
        <v>854</v>
      </c>
      <c r="G318">
        <v>756</v>
      </c>
      <c r="I318" t="s">
        <v>48</v>
      </c>
      <c r="J318">
        <v>20</v>
      </c>
      <c r="K318" s="18">
        <f t="shared" si="8"/>
        <v>2.3631723313537257E-4</v>
      </c>
      <c r="L318">
        <f t="shared" si="9"/>
        <v>78179.399999999994</v>
      </c>
    </row>
    <row r="319" spans="1:12" x14ac:dyDescent="0.3">
      <c r="A319" s="13">
        <v>43981</v>
      </c>
      <c r="B319" s="16" t="s">
        <v>17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I319" t="s">
        <v>45</v>
      </c>
      <c r="J319">
        <v>22</v>
      </c>
      <c r="K319" s="18">
        <f t="shared" si="8"/>
        <v>8.9804895314251525E-4</v>
      </c>
      <c r="L319">
        <f t="shared" si="9"/>
        <v>202565.52272727274</v>
      </c>
    </row>
    <row r="320" spans="1:12" x14ac:dyDescent="0.3">
      <c r="A320" s="13">
        <v>43964</v>
      </c>
      <c r="B320" s="16" t="s">
        <v>18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I320" t="s">
        <v>48</v>
      </c>
      <c r="J320">
        <v>20</v>
      </c>
      <c r="K320" s="18">
        <f t="shared" si="8"/>
        <v>2.5058796544280147E-4</v>
      </c>
      <c r="L320">
        <f t="shared" si="9"/>
        <v>82900.5</v>
      </c>
    </row>
    <row r="321" spans="1:12" x14ac:dyDescent="0.3">
      <c r="A321" s="13">
        <v>43979</v>
      </c>
      <c r="B321" s="16" t="s">
        <v>17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I321" t="s">
        <v>46</v>
      </c>
      <c r="J321">
        <v>22</v>
      </c>
      <c r="K321" s="18">
        <f t="shared" si="8"/>
        <v>7.8464301548588158E-4</v>
      </c>
      <c r="L321">
        <f t="shared" si="9"/>
        <v>176985.47727272726</v>
      </c>
    </row>
    <row r="322" spans="1:12" x14ac:dyDescent="0.3">
      <c r="A322" s="13">
        <v>43964</v>
      </c>
      <c r="B322" s="16" t="s">
        <v>19</v>
      </c>
      <c r="C322">
        <v>10401</v>
      </c>
      <c r="D322">
        <v>949912.5</v>
      </c>
      <c r="E322">
        <v>15</v>
      </c>
      <c r="F322">
        <v>599</v>
      </c>
      <c r="G322">
        <v>515</v>
      </c>
      <c r="I322" t="s">
        <v>48</v>
      </c>
      <c r="J322">
        <v>20</v>
      </c>
      <c r="K322" s="18">
        <f t="shared" ref="K322:K385" si="10" xml:space="preserve"> D322/SUM($D$2:$D$505)</f>
        <v>1.9142356658378428E-4</v>
      </c>
      <c r="L322">
        <f t="shared" ref="L322:L385" si="11">D322/E322</f>
        <v>63327.5</v>
      </c>
    </row>
    <row r="323" spans="1:12" x14ac:dyDescent="0.3">
      <c r="A323" s="13">
        <v>43967</v>
      </c>
      <c r="B323" s="16" t="s">
        <v>18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I323" t="s">
        <v>45</v>
      </c>
      <c r="J323">
        <v>20</v>
      </c>
      <c r="K323" s="18">
        <f t="shared" si="10"/>
        <v>3.2271454563259253E-4</v>
      </c>
      <c r="L323">
        <f t="shared" si="11"/>
        <v>106761.7</v>
      </c>
    </row>
    <row r="324" spans="1:12" x14ac:dyDescent="0.3">
      <c r="A324" s="13">
        <v>43970</v>
      </c>
      <c r="B324" s="16" t="s">
        <v>18</v>
      </c>
      <c r="C324">
        <v>16638</v>
      </c>
      <c r="D324">
        <v>1364847</v>
      </c>
      <c r="E324">
        <v>16</v>
      </c>
      <c r="F324">
        <v>1012</v>
      </c>
      <c r="G324">
        <v>900</v>
      </c>
      <c r="I324" t="s">
        <v>44</v>
      </c>
      <c r="J324">
        <v>21</v>
      </c>
      <c r="K324" s="18">
        <f t="shared" si="10"/>
        <v>2.7503994376448175E-4</v>
      </c>
      <c r="L324">
        <f t="shared" si="11"/>
        <v>85302.9375</v>
      </c>
    </row>
    <row r="325" spans="1:12" x14ac:dyDescent="0.3">
      <c r="A325" s="13">
        <v>43968</v>
      </c>
      <c r="B325" s="16" t="s">
        <v>18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I325" t="s">
        <v>43</v>
      </c>
      <c r="J325">
        <v>20</v>
      </c>
      <c r="K325" s="18">
        <f t="shared" si="10"/>
        <v>2.7760535659397375E-4</v>
      </c>
      <c r="L325">
        <f t="shared" si="11"/>
        <v>91838.5</v>
      </c>
    </row>
    <row r="326" spans="1:12" x14ac:dyDescent="0.3">
      <c r="A326" s="13">
        <v>43965</v>
      </c>
      <c r="B326" s="16" t="s">
        <v>16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I326" t="s">
        <v>46</v>
      </c>
      <c r="J326">
        <v>20</v>
      </c>
      <c r="K326" s="18">
        <f t="shared" si="10"/>
        <v>1.0814619146368252E-3</v>
      </c>
      <c r="L326">
        <f t="shared" si="11"/>
        <v>149072.29166666666</v>
      </c>
    </row>
    <row r="327" spans="1:12" x14ac:dyDescent="0.3">
      <c r="A327" s="13">
        <v>43965</v>
      </c>
      <c r="B327" s="16" t="s">
        <v>11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I327" t="s">
        <v>46</v>
      </c>
      <c r="J327">
        <v>20</v>
      </c>
      <c r="K327" s="18">
        <f t="shared" si="10"/>
        <v>1.2199134998501012E-3</v>
      </c>
      <c r="L327">
        <f t="shared" si="11"/>
        <v>195279</v>
      </c>
    </row>
    <row r="328" spans="1:12" x14ac:dyDescent="0.3">
      <c r="A328" s="13">
        <v>43965</v>
      </c>
      <c r="B328" s="16" t="s">
        <v>17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I328" t="s">
        <v>46</v>
      </c>
      <c r="J328">
        <v>20</v>
      </c>
      <c r="K328" s="18">
        <f t="shared" si="10"/>
        <v>6.380995130526809E-4</v>
      </c>
      <c r="L328">
        <f t="shared" si="11"/>
        <v>150784.71428571429</v>
      </c>
    </row>
    <row r="329" spans="1:12" x14ac:dyDescent="0.3">
      <c r="A329" s="13">
        <v>43965</v>
      </c>
      <c r="B329" s="16" t="s">
        <v>10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I329" t="s">
        <v>46</v>
      </c>
      <c r="J329">
        <v>20</v>
      </c>
      <c r="K329" s="18">
        <f t="shared" si="10"/>
        <v>5.4472719159581327E-4</v>
      </c>
      <c r="L329">
        <f t="shared" si="11"/>
        <v>128720.57142857143</v>
      </c>
    </row>
    <row r="330" spans="1:12" x14ac:dyDescent="0.3">
      <c r="A330" s="13">
        <v>43977</v>
      </c>
      <c r="B330" s="16" t="s">
        <v>18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I330" t="s">
        <v>44</v>
      </c>
      <c r="J330">
        <v>22</v>
      </c>
      <c r="K330" s="18">
        <f t="shared" si="10"/>
        <v>3.0008559132112397E-4</v>
      </c>
      <c r="L330">
        <f t="shared" si="11"/>
        <v>87596.029411764699</v>
      </c>
    </row>
    <row r="331" spans="1:12" x14ac:dyDescent="0.3">
      <c r="A331" s="13">
        <v>43965</v>
      </c>
      <c r="B331" s="16" t="s">
        <v>20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I331" t="s">
        <v>46</v>
      </c>
      <c r="J331">
        <v>20</v>
      </c>
      <c r="K331" s="18">
        <f t="shared" si="10"/>
        <v>4.4844425859951142E-4</v>
      </c>
      <c r="L331">
        <f t="shared" si="11"/>
        <v>117123.23684210527</v>
      </c>
    </row>
    <row r="332" spans="1:12" x14ac:dyDescent="0.3">
      <c r="A332" s="13">
        <v>43965</v>
      </c>
      <c r="B332" s="16" t="s">
        <v>22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I332" t="s">
        <v>46</v>
      </c>
      <c r="J332">
        <v>20</v>
      </c>
      <c r="K332" s="18">
        <f t="shared" si="10"/>
        <v>3.7564789618424748E-3</v>
      </c>
      <c r="L332">
        <f t="shared" si="11"/>
        <v>345203.66666666669</v>
      </c>
    </row>
    <row r="333" spans="1:12" x14ac:dyDescent="0.3">
      <c r="A333" s="13">
        <v>43965</v>
      </c>
      <c r="B333" s="16" t="s">
        <v>21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I333" t="s">
        <v>46</v>
      </c>
      <c r="J333">
        <v>20</v>
      </c>
      <c r="K333" s="18">
        <f t="shared" si="10"/>
        <v>4.0187408101031137E-3</v>
      </c>
      <c r="L333">
        <f t="shared" si="11"/>
        <v>332373.92499999999</v>
      </c>
    </row>
    <row r="334" spans="1:12" x14ac:dyDescent="0.3">
      <c r="A334" s="13">
        <v>43972</v>
      </c>
      <c r="B334" s="16" t="s">
        <v>18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I334" t="s">
        <v>46</v>
      </c>
      <c r="J334">
        <v>21</v>
      </c>
      <c r="K334" s="18">
        <f t="shared" si="10"/>
        <v>2.7824497171677397E-4</v>
      </c>
      <c r="L334">
        <f t="shared" si="11"/>
        <v>81220.676470588238</v>
      </c>
    </row>
    <row r="335" spans="1:12" x14ac:dyDescent="0.3">
      <c r="A335" s="13">
        <v>43965</v>
      </c>
      <c r="B335" s="16" t="s">
        <v>13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I335" t="s">
        <v>46</v>
      </c>
      <c r="J335">
        <v>20</v>
      </c>
      <c r="K335" s="18">
        <f t="shared" si="10"/>
        <v>4.9200791260841498E-4</v>
      </c>
      <c r="L335">
        <f t="shared" si="11"/>
        <v>128501.05263157895</v>
      </c>
    </row>
    <row r="336" spans="1:12" x14ac:dyDescent="0.3">
      <c r="A336" s="13">
        <v>43971</v>
      </c>
      <c r="B336" s="16" t="s">
        <v>18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I336" t="s">
        <v>48</v>
      </c>
      <c r="J336">
        <v>21</v>
      </c>
      <c r="K336" s="18">
        <f t="shared" si="10"/>
        <v>2.8822067033806495E-4</v>
      </c>
      <c r="L336">
        <f t="shared" si="11"/>
        <v>89390.90625</v>
      </c>
    </row>
    <row r="337" spans="1:12" x14ac:dyDescent="0.3">
      <c r="A337" s="13">
        <v>43965</v>
      </c>
      <c r="B337" s="16" t="s">
        <v>23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I337" t="s">
        <v>46</v>
      </c>
      <c r="J337">
        <v>20</v>
      </c>
      <c r="K337" s="18">
        <f t="shared" si="10"/>
        <v>2.2805211200932084E-4</v>
      </c>
      <c r="L337">
        <f t="shared" si="11"/>
        <v>70729.78125</v>
      </c>
    </row>
    <row r="338" spans="1:12" x14ac:dyDescent="0.3">
      <c r="A338" s="13">
        <v>43965</v>
      </c>
      <c r="B338" s="16" t="s">
        <v>18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I338" t="s">
        <v>46</v>
      </c>
      <c r="J338">
        <v>20</v>
      </c>
      <c r="K338" s="18">
        <f t="shared" si="10"/>
        <v>2.4655440013153225E-4</v>
      </c>
      <c r="L338">
        <f t="shared" si="11"/>
        <v>81566.100000000006</v>
      </c>
    </row>
    <row r="339" spans="1:12" x14ac:dyDescent="0.3">
      <c r="A339" s="13">
        <v>43965</v>
      </c>
      <c r="B339" s="16" t="s">
        <v>19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I339" t="s">
        <v>46</v>
      </c>
      <c r="J339">
        <v>20</v>
      </c>
      <c r="K339" s="18">
        <f t="shared" si="10"/>
        <v>1.9416218331940323E-4</v>
      </c>
      <c r="L339">
        <f t="shared" si="11"/>
        <v>64233.5</v>
      </c>
    </row>
    <row r="340" spans="1:12" x14ac:dyDescent="0.3">
      <c r="A340" s="13">
        <v>43965</v>
      </c>
      <c r="B340" s="16" t="s">
        <v>15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I340" t="s">
        <v>46</v>
      </c>
      <c r="J340">
        <v>20</v>
      </c>
      <c r="K340" s="18">
        <f t="shared" si="10"/>
        <v>7.6502221704283016E-3</v>
      </c>
      <c r="L340">
        <f t="shared" si="11"/>
        <v>303705.20400000003</v>
      </c>
    </row>
    <row r="341" spans="1:12" x14ac:dyDescent="0.3">
      <c r="A341" s="13">
        <v>43965</v>
      </c>
      <c r="B341" s="16" t="s">
        <v>14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I341" t="s">
        <v>46</v>
      </c>
      <c r="J341">
        <v>20</v>
      </c>
      <c r="K341" s="18">
        <f t="shared" si="10"/>
        <v>5.679010883190891E-3</v>
      </c>
      <c r="L341">
        <f t="shared" si="11"/>
        <v>218459.62790697673</v>
      </c>
    </row>
    <row r="342" spans="1:12" x14ac:dyDescent="0.3">
      <c r="A342" s="13">
        <v>43965</v>
      </c>
      <c r="B342" s="16" t="s">
        <v>12</v>
      </c>
      <c r="C342">
        <v>12037.5</v>
      </c>
      <c r="D342">
        <v>981564</v>
      </c>
      <c r="E342">
        <v>10</v>
      </c>
      <c r="F342">
        <v>627</v>
      </c>
      <c r="G342">
        <v>545</v>
      </c>
      <c r="I342" t="s">
        <v>46</v>
      </c>
      <c r="J342">
        <v>20</v>
      </c>
      <c r="K342" s="18">
        <f t="shared" si="10"/>
        <v>1.9780188355269105E-4</v>
      </c>
      <c r="L342">
        <f t="shared" si="11"/>
        <v>98156.4</v>
      </c>
    </row>
    <row r="343" spans="1:12" x14ac:dyDescent="0.3">
      <c r="A343" s="13">
        <v>43974</v>
      </c>
      <c r="B343" s="16" t="s">
        <v>18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I343" t="s">
        <v>45</v>
      </c>
      <c r="J343">
        <v>21</v>
      </c>
      <c r="K343" s="18">
        <f t="shared" si="10"/>
        <v>3.7361291653882433E-4</v>
      </c>
      <c r="L343">
        <f t="shared" si="11"/>
        <v>109058.91176470589</v>
      </c>
    </row>
    <row r="344" spans="1:12" x14ac:dyDescent="0.3">
      <c r="A344" s="13">
        <v>43966</v>
      </c>
      <c r="B344" s="16" t="s">
        <v>16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I344" t="s">
        <v>49</v>
      </c>
      <c r="J344">
        <v>20</v>
      </c>
      <c r="K344" s="18">
        <f t="shared" si="10"/>
        <v>1.2683386519780951E-3</v>
      </c>
      <c r="L344">
        <f t="shared" si="11"/>
        <v>174832</v>
      </c>
    </row>
    <row r="345" spans="1:12" x14ac:dyDescent="0.3">
      <c r="A345" s="13">
        <v>43976</v>
      </c>
      <c r="B345" s="16" t="s">
        <v>18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I345" t="s">
        <v>47</v>
      </c>
      <c r="J345">
        <v>22</v>
      </c>
      <c r="K345" s="18">
        <f t="shared" si="10"/>
        <v>3.0386101328888122E-4</v>
      </c>
      <c r="L345">
        <f t="shared" si="11"/>
        <v>88698.088235294112</v>
      </c>
    </row>
    <row r="346" spans="1:12" x14ac:dyDescent="0.3">
      <c r="A346" s="13">
        <v>43966</v>
      </c>
      <c r="B346" s="16" t="s">
        <v>11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I346" t="s">
        <v>49</v>
      </c>
      <c r="J346">
        <v>20</v>
      </c>
      <c r="K346" s="18">
        <f t="shared" si="10"/>
        <v>1.3857228385152456E-3</v>
      </c>
      <c r="L346">
        <f t="shared" si="11"/>
        <v>221821.11290322582</v>
      </c>
    </row>
    <row r="347" spans="1:12" x14ac:dyDescent="0.3">
      <c r="A347" s="13">
        <v>43966</v>
      </c>
      <c r="B347" s="16" t="s">
        <v>17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I347" t="s">
        <v>49</v>
      </c>
      <c r="J347">
        <v>20</v>
      </c>
      <c r="K347" s="18">
        <f t="shared" si="10"/>
        <v>7.6017441200741784E-4</v>
      </c>
      <c r="L347">
        <f t="shared" si="11"/>
        <v>179631.35714285713</v>
      </c>
    </row>
    <row r="348" spans="1:12" x14ac:dyDescent="0.3">
      <c r="A348" s="13">
        <v>43966</v>
      </c>
      <c r="B348" s="16" t="s">
        <v>10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I348" t="s">
        <v>49</v>
      </c>
      <c r="J348">
        <v>20</v>
      </c>
      <c r="K348" s="18">
        <f t="shared" si="10"/>
        <v>6.1226794899354314E-4</v>
      </c>
      <c r="L348">
        <f t="shared" si="11"/>
        <v>144680.64285714287</v>
      </c>
    </row>
    <row r="349" spans="1:12" x14ac:dyDescent="0.3">
      <c r="A349" s="13">
        <v>43966</v>
      </c>
      <c r="B349" s="16" t="s">
        <v>20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I349" t="s">
        <v>49</v>
      </c>
      <c r="J349">
        <v>20</v>
      </c>
      <c r="K349" s="18">
        <f t="shared" si="10"/>
        <v>4.9925587641489085E-4</v>
      </c>
      <c r="L349">
        <f t="shared" si="11"/>
        <v>130394.05263157895</v>
      </c>
    </row>
    <row r="350" spans="1:12" x14ac:dyDescent="0.3">
      <c r="A350" s="13">
        <v>43966</v>
      </c>
      <c r="B350" s="16" t="s">
        <v>22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I350" t="s">
        <v>49</v>
      </c>
      <c r="J350">
        <v>20</v>
      </c>
      <c r="K350" s="18">
        <f t="shared" si="10"/>
        <v>4.4122751986023093E-3</v>
      </c>
      <c r="L350">
        <f t="shared" si="11"/>
        <v>405468.41666666669</v>
      </c>
    </row>
    <row r="351" spans="1:12" x14ac:dyDescent="0.3">
      <c r="A351" s="13">
        <v>43975</v>
      </c>
      <c r="B351" s="16" t="s">
        <v>18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I351" t="s">
        <v>43</v>
      </c>
      <c r="J351">
        <v>21</v>
      </c>
      <c r="K351" s="18">
        <f t="shared" si="10"/>
        <v>3.1196834656327805E-4</v>
      </c>
      <c r="L351">
        <f t="shared" si="11"/>
        <v>91064.647058823524</v>
      </c>
    </row>
    <row r="352" spans="1:12" x14ac:dyDescent="0.3">
      <c r="A352" s="13">
        <v>43966</v>
      </c>
      <c r="B352" s="16" t="s">
        <v>21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I352" t="s">
        <v>49</v>
      </c>
      <c r="J352">
        <v>20</v>
      </c>
      <c r="K352" s="18">
        <f t="shared" si="10"/>
        <v>4.6520658804031336E-3</v>
      </c>
      <c r="L352">
        <f t="shared" si="11"/>
        <v>384753.7</v>
      </c>
    </row>
    <row r="353" spans="1:12" x14ac:dyDescent="0.3">
      <c r="A353" s="13">
        <v>43967</v>
      </c>
      <c r="B353" s="16" t="s">
        <v>19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I353" t="s">
        <v>45</v>
      </c>
      <c r="J353">
        <v>20</v>
      </c>
      <c r="K353" s="18">
        <f t="shared" si="10"/>
        <v>2.4484986814785065E-4</v>
      </c>
      <c r="L353">
        <f t="shared" si="11"/>
        <v>81002.2</v>
      </c>
    </row>
    <row r="354" spans="1:12" x14ac:dyDescent="0.3">
      <c r="A354" s="13">
        <v>43966</v>
      </c>
      <c r="B354" s="16" t="s">
        <v>13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I354" t="s">
        <v>49</v>
      </c>
      <c r="J354">
        <v>20</v>
      </c>
      <c r="K354" s="18">
        <f t="shared" si="10"/>
        <v>5.9428950444780277E-4</v>
      </c>
      <c r="L354">
        <f t="shared" si="11"/>
        <v>155214.63157894736</v>
      </c>
    </row>
    <row r="355" spans="1:12" x14ac:dyDescent="0.3">
      <c r="A355" s="13">
        <v>43970</v>
      </c>
      <c r="B355" s="16" t="s">
        <v>19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I355" t="s">
        <v>44</v>
      </c>
      <c r="J355">
        <v>21</v>
      </c>
      <c r="K355" s="18">
        <f t="shared" si="10"/>
        <v>2.8273799590642517E-4</v>
      </c>
      <c r="L355">
        <f t="shared" si="11"/>
        <v>93536.5</v>
      </c>
    </row>
    <row r="356" spans="1:12" x14ac:dyDescent="0.3">
      <c r="A356" s="13">
        <v>43966</v>
      </c>
      <c r="B356" s="16" t="s">
        <v>23</v>
      </c>
      <c r="C356">
        <v>13752</v>
      </c>
      <c r="D356">
        <v>1091040</v>
      </c>
      <c r="E356">
        <v>16</v>
      </c>
      <c r="F356">
        <v>817</v>
      </c>
      <c r="G356">
        <v>718</v>
      </c>
      <c r="I356" t="s">
        <v>49</v>
      </c>
      <c r="J356">
        <v>20</v>
      </c>
      <c r="K356" s="18">
        <f t="shared" si="10"/>
        <v>2.1986316432889556E-4</v>
      </c>
      <c r="L356">
        <f t="shared" si="11"/>
        <v>68190</v>
      </c>
    </row>
    <row r="357" spans="1:12" x14ac:dyDescent="0.3">
      <c r="A357" s="13">
        <v>43968</v>
      </c>
      <c r="B357" s="16" t="s">
        <v>19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I357" t="s">
        <v>43</v>
      </c>
      <c r="J357">
        <v>20</v>
      </c>
      <c r="K357" s="18">
        <f t="shared" si="10"/>
        <v>2.1370671763415485E-4</v>
      </c>
      <c r="L357">
        <f t="shared" si="11"/>
        <v>70699.3</v>
      </c>
    </row>
    <row r="358" spans="1:12" x14ac:dyDescent="0.3">
      <c r="A358" s="13">
        <v>43966</v>
      </c>
      <c r="B358" s="16" t="s">
        <v>18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I358" t="s">
        <v>49</v>
      </c>
      <c r="J358">
        <v>20</v>
      </c>
      <c r="K358" s="18">
        <f t="shared" si="10"/>
        <v>2.7617559311058775E-4</v>
      </c>
      <c r="L358">
        <f t="shared" si="11"/>
        <v>91365.5</v>
      </c>
    </row>
    <row r="359" spans="1:12" x14ac:dyDescent="0.3">
      <c r="A359" s="13">
        <v>43966</v>
      </c>
      <c r="B359" s="16" t="s">
        <v>19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I359" t="s">
        <v>49</v>
      </c>
      <c r="J359">
        <v>20</v>
      </c>
      <c r="K359" s="18">
        <f t="shared" si="10"/>
        <v>2.2624934046282729E-4</v>
      </c>
      <c r="L359">
        <f t="shared" si="11"/>
        <v>74848.7</v>
      </c>
    </row>
    <row r="360" spans="1:12" x14ac:dyDescent="0.3">
      <c r="A360" s="13">
        <v>43966</v>
      </c>
      <c r="B360" s="16" t="s">
        <v>15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I360" t="s">
        <v>49</v>
      </c>
      <c r="J360">
        <v>20</v>
      </c>
      <c r="K360" s="18">
        <f t="shared" si="10"/>
        <v>8.5184032737202087E-3</v>
      </c>
      <c r="L360">
        <f t="shared" si="11"/>
        <v>338171.016</v>
      </c>
    </row>
    <row r="361" spans="1:12" x14ac:dyDescent="0.3">
      <c r="A361" s="13">
        <v>43966</v>
      </c>
      <c r="B361" s="16" t="s">
        <v>14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I361" t="s">
        <v>49</v>
      </c>
      <c r="J361">
        <v>20</v>
      </c>
      <c r="K361" s="18">
        <f t="shared" si="10"/>
        <v>6.519949400026104E-3</v>
      </c>
      <c r="L361">
        <f t="shared" si="11"/>
        <v>250808.76744186046</v>
      </c>
    </row>
    <row r="362" spans="1:12" x14ac:dyDescent="0.3">
      <c r="A362" s="13">
        <v>43966</v>
      </c>
      <c r="B362" s="16" t="s">
        <v>12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I362" t="s">
        <v>49</v>
      </c>
      <c r="J362">
        <v>20</v>
      </c>
      <c r="K362" s="18">
        <f t="shared" si="10"/>
        <v>2.3186138884180094E-4</v>
      </c>
      <c r="L362">
        <f t="shared" si="11"/>
        <v>115057.95</v>
      </c>
    </row>
    <row r="363" spans="1:12" x14ac:dyDescent="0.3">
      <c r="A363" s="13">
        <v>43977</v>
      </c>
      <c r="B363" s="16" t="s">
        <v>19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I363" t="s">
        <v>44</v>
      </c>
      <c r="J363">
        <v>22</v>
      </c>
      <c r="K363" s="18">
        <f t="shared" si="10"/>
        <v>2.3215852573485983E-4</v>
      </c>
      <c r="L363">
        <f t="shared" si="11"/>
        <v>76803.600000000006</v>
      </c>
    </row>
    <row r="364" spans="1:12" x14ac:dyDescent="0.3">
      <c r="A364" s="13">
        <v>43972</v>
      </c>
      <c r="B364" s="16" t="s">
        <v>19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I364" t="s">
        <v>46</v>
      </c>
      <c r="J364">
        <v>21</v>
      </c>
      <c r="K364" s="18">
        <f t="shared" si="10"/>
        <v>2.2239895415175509E-4</v>
      </c>
      <c r="L364">
        <f t="shared" si="11"/>
        <v>73574.899999999994</v>
      </c>
    </row>
    <row r="365" spans="1:12" x14ac:dyDescent="0.3">
      <c r="A365" s="13">
        <v>43971</v>
      </c>
      <c r="B365" s="16" t="s">
        <v>19</v>
      </c>
      <c r="C365">
        <v>12630</v>
      </c>
      <c r="D365">
        <v>1104858</v>
      </c>
      <c r="E365">
        <v>15</v>
      </c>
      <c r="F365">
        <v>760</v>
      </c>
      <c r="G365">
        <v>664</v>
      </c>
      <c r="I365" t="s">
        <v>48</v>
      </c>
      <c r="J365">
        <v>21</v>
      </c>
      <c r="K365" s="18">
        <f t="shared" si="10"/>
        <v>2.2264772695235272E-4</v>
      </c>
      <c r="L365">
        <f t="shared" si="11"/>
        <v>73657.2</v>
      </c>
    </row>
    <row r="366" spans="1:12" x14ac:dyDescent="0.3">
      <c r="A366" s="13">
        <v>43967</v>
      </c>
      <c r="B366" s="16" t="s">
        <v>20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I366" t="s">
        <v>45</v>
      </c>
      <c r="J366">
        <v>20</v>
      </c>
      <c r="K366" s="18">
        <f t="shared" si="10"/>
        <v>5.8901086603123387E-4</v>
      </c>
      <c r="L366">
        <f t="shared" si="11"/>
        <v>153835.97368421053</v>
      </c>
    </row>
    <row r="367" spans="1:12" x14ac:dyDescent="0.3">
      <c r="A367" s="13">
        <v>43967</v>
      </c>
      <c r="B367" s="16" t="s">
        <v>22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I367" t="s">
        <v>45</v>
      </c>
      <c r="J367">
        <v>20</v>
      </c>
      <c r="K367" s="18">
        <f t="shared" si="10"/>
        <v>4.5049819092366789E-3</v>
      </c>
      <c r="L367">
        <f t="shared" si="11"/>
        <v>413987.75</v>
      </c>
    </row>
    <row r="368" spans="1:12" x14ac:dyDescent="0.3">
      <c r="A368" s="13">
        <v>43967</v>
      </c>
      <c r="B368" s="16" t="s">
        <v>21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I368" t="s">
        <v>45</v>
      </c>
      <c r="J368">
        <v>20</v>
      </c>
      <c r="K368" s="18">
        <f t="shared" si="10"/>
        <v>4.773814624009335E-3</v>
      </c>
      <c r="L368">
        <f t="shared" si="11"/>
        <v>394823.05</v>
      </c>
    </row>
    <row r="369" spans="1:12" x14ac:dyDescent="0.3">
      <c r="A369" s="13">
        <v>43982</v>
      </c>
      <c r="B369" s="16" t="s">
        <v>18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I369" t="s">
        <v>43</v>
      </c>
      <c r="J369">
        <v>22</v>
      </c>
      <c r="K369" s="18">
        <f t="shared" si="10"/>
        <v>3.2083922794740711E-4</v>
      </c>
      <c r="L369">
        <f t="shared" si="11"/>
        <v>93654.088235294112</v>
      </c>
    </row>
    <row r="370" spans="1:12" x14ac:dyDescent="0.3">
      <c r="A370" s="13">
        <v>43967</v>
      </c>
      <c r="B370" s="16" t="s">
        <v>23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I370" t="s">
        <v>45</v>
      </c>
      <c r="J370">
        <v>20</v>
      </c>
      <c r="K370" s="18">
        <f t="shared" si="10"/>
        <v>2.6526707205595015E-4</v>
      </c>
      <c r="L370">
        <f t="shared" si="11"/>
        <v>82271.90625</v>
      </c>
    </row>
    <row r="371" spans="1:12" x14ac:dyDescent="0.3">
      <c r="A371" s="13">
        <v>43981</v>
      </c>
      <c r="B371" s="16" t="s">
        <v>18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I371" t="s">
        <v>45</v>
      </c>
      <c r="J371">
        <v>22</v>
      </c>
      <c r="K371" s="18">
        <f t="shared" si="10"/>
        <v>4.9517817886925077E-4</v>
      </c>
      <c r="L371">
        <f t="shared" si="11"/>
        <v>144544.23529411765</v>
      </c>
    </row>
    <row r="372" spans="1:12" x14ac:dyDescent="0.3">
      <c r="A372" s="13">
        <v>43974</v>
      </c>
      <c r="B372" s="16" t="s">
        <v>19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I372" t="s">
        <v>45</v>
      </c>
      <c r="J372">
        <v>21</v>
      </c>
      <c r="K372" s="18">
        <f t="shared" si="10"/>
        <v>2.6501013781474972E-4</v>
      </c>
      <c r="L372">
        <f t="shared" si="11"/>
        <v>87671.7</v>
      </c>
    </row>
    <row r="373" spans="1:12" x14ac:dyDescent="0.3">
      <c r="A373" s="13">
        <v>43979</v>
      </c>
      <c r="B373" s="16" t="s">
        <v>18</v>
      </c>
      <c r="C373">
        <v>16500</v>
      </c>
      <c r="D373">
        <v>1487928</v>
      </c>
      <c r="E373">
        <v>17</v>
      </c>
      <c r="F373">
        <v>1097</v>
      </c>
      <c r="G373">
        <v>968</v>
      </c>
      <c r="I373" t="s">
        <v>46</v>
      </c>
      <c r="J373">
        <v>22</v>
      </c>
      <c r="K373" s="18">
        <f t="shared" si="10"/>
        <v>2.9984286403208398E-4</v>
      </c>
      <c r="L373">
        <f t="shared" si="11"/>
        <v>87525.176470588238</v>
      </c>
    </row>
    <row r="374" spans="1:12" x14ac:dyDescent="0.3">
      <c r="A374" s="13">
        <v>43976</v>
      </c>
      <c r="B374" s="16" t="s">
        <v>19</v>
      </c>
      <c r="C374">
        <v>13260</v>
      </c>
      <c r="D374">
        <v>1230687</v>
      </c>
      <c r="E374">
        <v>15</v>
      </c>
      <c r="F374">
        <v>835</v>
      </c>
      <c r="G374">
        <v>736</v>
      </c>
      <c r="I374" t="s">
        <v>47</v>
      </c>
      <c r="J374">
        <v>22</v>
      </c>
      <c r="K374" s="18">
        <f t="shared" si="10"/>
        <v>2.4800441607863646E-4</v>
      </c>
      <c r="L374">
        <f t="shared" si="11"/>
        <v>82045.8</v>
      </c>
    </row>
    <row r="375" spans="1:12" x14ac:dyDescent="0.3">
      <c r="A375" s="13">
        <v>43968</v>
      </c>
      <c r="B375" s="16" t="s">
        <v>20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I375" t="s">
        <v>43</v>
      </c>
      <c r="J375">
        <v>20</v>
      </c>
      <c r="K375" s="18">
        <f t="shared" si="10"/>
        <v>4.9082148096522469E-4</v>
      </c>
      <c r="L375">
        <f t="shared" si="11"/>
        <v>128191.18421052632</v>
      </c>
    </row>
    <row r="376" spans="1:12" x14ac:dyDescent="0.3">
      <c r="A376" s="13">
        <v>43975</v>
      </c>
      <c r="B376" s="16" t="s">
        <v>19</v>
      </c>
      <c r="C376">
        <v>12666</v>
      </c>
      <c r="D376">
        <v>1184865</v>
      </c>
      <c r="E376">
        <v>15</v>
      </c>
      <c r="F376">
        <v>779</v>
      </c>
      <c r="G376">
        <v>673</v>
      </c>
      <c r="I376" t="s">
        <v>43</v>
      </c>
      <c r="J376">
        <v>21</v>
      </c>
      <c r="K376" s="18">
        <f t="shared" si="10"/>
        <v>2.3877050172547005E-4</v>
      </c>
      <c r="L376">
        <f t="shared" si="11"/>
        <v>78991</v>
      </c>
    </row>
    <row r="377" spans="1:12" x14ac:dyDescent="0.3">
      <c r="A377" s="13">
        <v>43968</v>
      </c>
      <c r="B377" s="16" t="s">
        <v>22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I377" t="s">
        <v>43</v>
      </c>
      <c r="J377">
        <v>20</v>
      </c>
      <c r="K377" s="18">
        <f t="shared" si="10"/>
        <v>3.717806428959294E-3</v>
      </c>
      <c r="L377">
        <f t="shared" si="11"/>
        <v>341649.83333333331</v>
      </c>
    </row>
    <row r="378" spans="1:12" x14ac:dyDescent="0.3">
      <c r="A378" s="13">
        <v>43968</v>
      </c>
      <c r="B378" s="16" t="s">
        <v>21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I378" t="s">
        <v>43</v>
      </c>
      <c r="J378">
        <v>20</v>
      </c>
      <c r="K378" s="18">
        <f t="shared" si="10"/>
        <v>3.938930082447961E-3</v>
      </c>
      <c r="L378">
        <f t="shared" si="11"/>
        <v>325773.09999999998</v>
      </c>
    </row>
    <row r="379" spans="1:12" x14ac:dyDescent="0.3">
      <c r="A379" s="13">
        <v>43970</v>
      </c>
      <c r="B379" s="16" t="s">
        <v>20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I379" t="s">
        <v>44</v>
      </c>
      <c r="J379">
        <v>21</v>
      </c>
      <c r="K379" s="18">
        <f t="shared" si="10"/>
        <v>4.9301751303854383E-4</v>
      </c>
      <c r="L379">
        <f t="shared" si="11"/>
        <v>128764.73684210527</v>
      </c>
    </row>
    <row r="380" spans="1:12" x14ac:dyDescent="0.3">
      <c r="A380" s="13">
        <v>43968</v>
      </c>
      <c r="B380" s="16" t="s">
        <v>23</v>
      </c>
      <c r="C380">
        <v>13440</v>
      </c>
      <c r="D380">
        <v>1157529</v>
      </c>
      <c r="E380">
        <v>16</v>
      </c>
      <c r="F380">
        <v>859</v>
      </c>
      <c r="G380">
        <v>746</v>
      </c>
      <c r="I380" t="s">
        <v>43</v>
      </c>
      <c r="J380">
        <v>20</v>
      </c>
      <c r="K380" s="18">
        <f t="shared" si="10"/>
        <v>2.3326183159413236E-4</v>
      </c>
      <c r="L380">
        <f t="shared" si="11"/>
        <v>72345.5625</v>
      </c>
    </row>
    <row r="381" spans="1:12" x14ac:dyDescent="0.3">
      <c r="A381" s="13">
        <v>43977</v>
      </c>
      <c r="B381" s="16" t="s">
        <v>20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I381" t="s">
        <v>44</v>
      </c>
      <c r="J381">
        <v>22</v>
      </c>
      <c r="K381" s="18">
        <f t="shared" si="10"/>
        <v>4.8581791332452927E-4</v>
      </c>
      <c r="L381">
        <f t="shared" si="11"/>
        <v>120540.15</v>
      </c>
    </row>
    <row r="382" spans="1:12" x14ac:dyDescent="0.3">
      <c r="A382" s="13">
        <v>43969</v>
      </c>
      <c r="B382" s="16" t="s">
        <v>16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I382" t="s">
        <v>47</v>
      </c>
      <c r="J382">
        <v>21</v>
      </c>
      <c r="K382" s="18">
        <f t="shared" si="10"/>
        <v>1.168491889918554E-3</v>
      </c>
      <c r="L382">
        <f t="shared" si="11"/>
        <v>161068.79166666666</v>
      </c>
    </row>
    <row r="383" spans="1:12" x14ac:dyDescent="0.3">
      <c r="A383" s="13">
        <v>43972</v>
      </c>
      <c r="B383" s="16" t="s">
        <v>20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I383" t="s">
        <v>46</v>
      </c>
      <c r="J383">
        <v>21</v>
      </c>
      <c r="K383" s="18">
        <f t="shared" si="10"/>
        <v>4.431229993264611E-4</v>
      </c>
      <c r="L383">
        <f t="shared" si="11"/>
        <v>115733.44736842105</v>
      </c>
    </row>
    <row r="384" spans="1:12" x14ac:dyDescent="0.3">
      <c r="A384" s="13">
        <v>43969</v>
      </c>
      <c r="B384" s="16" t="s">
        <v>11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I384" t="s">
        <v>47</v>
      </c>
      <c r="J384">
        <v>21</v>
      </c>
      <c r="K384" s="18">
        <f t="shared" si="10"/>
        <v>1.3319700793270656E-3</v>
      </c>
      <c r="L384">
        <f t="shared" si="11"/>
        <v>213216.5806451613</v>
      </c>
    </row>
    <row r="385" spans="1:12" x14ac:dyDescent="0.3">
      <c r="A385" s="13">
        <v>43971</v>
      </c>
      <c r="B385" s="16" t="s">
        <v>20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I385" t="s">
        <v>48</v>
      </c>
      <c r="J385">
        <v>21</v>
      </c>
      <c r="K385" s="18">
        <f t="shared" si="10"/>
        <v>5.0797592228565629E-4</v>
      </c>
      <c r="L385">
        <f t="shared" si="11"/>
        <v>132671.52631578947</v>
      </c>
    </row>
    <row r="386" spans="1:12" x14ac:dyDescent="0.3">
      <c r="A386" s="13">
        <v>43969</v>
      </c>
      <c r="B386" s="16" t="s">
        <v>17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I386" t="s">
        <v>47</v>
      </c>
      <c r="J386">
        <v>21</v>
      </c>
      <c r="K386" s="18">
        <f t="shared" ref="K386:K449" si="12" xml:space="preserve"> D386/SUM($D$2:$D$505)</f>
        <v>6.7712449925967286E-4</v>
      </c>
      <c r="L386">
        <f t="shared" ref="L386:L449" si="13">D386/E386</f>
        <v>160006.42857142858</v>
      </c>
    </row>
    <row r="387" spans="1:12" x14ac:dyDescent="0.3">
      <c r="A387" s="13">
        <v>43969</v>
      </c>
      <c r="B387" s="16" t="s">
        <v>10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I387" t="s">
        <v>47</v>
      </c>
      <c r="J387">
        <v>21</v>
      </c>
      <c r="K387" s="18">
        <f t="shared" si="12"/>
        <v>5.6956366445256061E-4</v>
      </c>
      <c r="L387">
        <f t="shared" si="13"/>
        <v>134589.5</v>
      </c>
    </row>
    <row r="388" spans="1:12" x14ac:dyDescent="0.3">
      <c r="A388" s="13">
        <v>43969</v>
      </c>
      <c r="B388" s="16" t="s">
        <v>20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I388" t="s">
        <v>47</v>
      </c>
      <c r="J388">
        <v>21</v>
      </c>
      <c r="K388" s="18">
        <f t="shared" si="12"/>
        <v>4.6842437202199231E-4</v>
      </c>
      <c r="L388">
        <f t="shared" si="13"/>
        <v>122341.57894736843</v>
      </c>
    </row>
    <row r="389" spans="1:12" x14ac:dyDescent="0.3">
      <c r="A389" s="13">
        <v>43982</v>
      </c>
      <c r="B389" s="16" t="s">
        <v>19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I389" t="s">
        <v>43</v>
      </c>
      <c r="J389">
        <v>22</v>
      </c>
      <c r="K389" s="18">
        <f t="shared" si="12"/>
        <v>2.6938587908018237E-4</v>
      </c>
      <c r="L389">
        <f t="shared" si="13"/>
        <v>83549.34375</v>
      </c>
    </row>
    <row r="390" spans="1:12" x14ac:dyDescent="0.3">
      <c r="A390" s="13">
        <v>43969</v>
      </c>
      <c r="B390" s="16" t="s">
        <v>22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I390" t="s">
        <v>47</v>
      </c>
      <c r="J390">
        <v>21</v>
      </c>
      <c r="K390" s="18">
        <f t="shared" si="12"/>
        <v>4.0011456509901283E-3</v>
      </c>
      <c r="L390">
        <f t="shared" si="13"/>
        <v>367687.44444444444</v>
      </c>
    </row>
    <row r="391" spans="1:12" x14ac:dyDescent="0.3">
      <c r="A391" s="13">
        <v>43969</v>
      </c>
      <c r="B391" s="16" t="s">
        <v>21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I391" t="s">
        <v>47</v>
      </c>
      <c r="J391">
        <v>21</v>
      </c>
      <c r="K391" s="18">
        <f t="shared" si="12"/>
        <v>4.1154689950256363E-3</v>
      </c>
      <c r="L391">
        <f t="shared" si="13"/>
        <v>340373.92499999999</v>
      </c>
    </row>
    <row r="392" spans="1:12" x14ac:dyDescent="0.3">
      <c r="A392" s="13">
        <v>43981</v>
      </c>
      <c r="B392" s="16" t="s">
        <v>19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I392" t="s">
        <v>45</v>
      </c>
      <c r="J392">
        <v>22</v>
      </c>
      <c r="K392" s="18">
        <f t="shared" si="12"/>
        <v>3.2425917383557406E-4</v>
      </c>
      <c r="L392">
        <f t="shared" si="13"/>
        <v>100568.15625</v>
      </c>
    </row>
    <row r="393" spans="1:12" x14ac:dyDescent="0.3">
      <c r="A393" s="13">
        <v>43969</v>
      </c>
      <c r="B393" s="16" t="s">
        <v>13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I393" t="s">
        <v>47</v>
      </c>
      <c r="J393">
        <v>21</v>
      </c>
      <c r="K393" s="18">
        <f t="shared" si="12"/>
        <v>5.2155595489762282E-4</v>
      </c>
      <c r="L393">
        <f t="shared" si="13"/>
        <v>136218.31578947368</v>
      </c>
    </row>
    <row r="394" spans="1:12" x14ac:dyDescent="0.3">
      <c r="A394" s="13">
        <v>43969</v>
      </c>
      <c r="B394" s="16" t="s">
        <v>23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I394" t="s">
        <v>47</v>
      </c>
      <c r="J394">
        <v>21</v>
      </c>
      <c r="K394" s="18">
        <f t="shared" si="12"/>
        <v>2.4800925248788259E-4</v>
      </c>
      <c r="L394">
        <f t="shared" si="13"/>
        <v>76919.4375</v>
      </c>
    </row>
    <row r="395" spans="1:12" x14ac:dyDescent="0.3">
      <c r="A395" s="13">
        <v>43974</v>
      </c>
      <c r="B395" s="16" t="s">
        <v>20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I395" t="s">
        <v>45</v>
      </c>
      <c r="J395">
        <v>21</v>
      </c>
      <c r="K395" s="18">
        <f t="shared" si="12"/>
        <v>6.2251448653261716E-4</v>
      </c>
      <c r="L395">
        <f t="shared" si="13"/>
        <v>162586.34210526315</v>
      </c>
    </row>
    <row r="396" spans="1:12" x14ac:dyDescent="0.3">
      <c r="A396" s="13">
        <v>43969</v>
      </c>
      <c r="B396" s="16" t="s">
        <v>18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I396" t="s">
        <v>47</v>
      </c>
      <c r="J396">
        <v>21</v>
      </c>
      <c r="K396" s="18">
        <f t="shared" si="12"/>
        <v>2.511229932156542E-4</v>
      </c>
      <c r="L396">
        <f t="shared" si="13"/>
        <v>77885.15625</v>
      </c>
    </row>
    <row r="397" spans="1:12" x14ac:dyDescent="0.3">
      <c r="A397" s="13">
        <v>43979</v>
      </c>
      <c r="B397" s="16" t="s">
        <v>19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I397" t="s">
        <v>46</v>
      </c>
      <c r="J397">
        <v>22</v>
      </c>
      <c r="K397" s="18">
        <f t="shared" si="12"/>
        <v>2.4983016056904909E-4</v>
      </c>
      <c r="L397">
        <f t="shared" si="13"/>
        <v>77484.1875</v>
      </c>
    </row>
    <row r="398" spans="1:12" x14ac:dyDescent="0.3">
      <c r="A398" s="13">
        <v>43969</v>
      </c>
      <c r="B398" s="16" t="s">
        <v>19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I398" t="s">
        <v>47</v>
      </c>
      <c r="J398">
        <v>21</v>
      </c>
      <c r="K398" s="18">
        <f t="shared" si="12"/>
        <v>2.2472103514105144E-4</v>
      </c>
      <c r="L398">
        <f t="shared" si="13"/>
        <v>74343.100000000006</v>
      </c>
    </row>
    <row r="399" spans="1:12" x14ac:dyDescent="0.3">
      <c r="A399" s="13">
        <v>43976</v>
      </c>
      <c r="B399" s="16" t="s">
        <v>20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I399" t="s">
        <v>47</v>
      </c>
      <c r="J399">
        <v>22</v>
      </c>
      <c r="K399" s="18">
        <f t="shared" si="12"/>
        <v>5.063726526205655E-4</v>
      </c>
      <c r="L399">
        <f t="shared" si="13"/>
        <v>125640.15</v>
      </c>
    </row>
    <row r="400" spans="1:12" x14ac:dyDescent="0.3">
      <c r="A400" s="13">
        <v>43969</v>
      </c>
      <c r="B400" s="16" t="s">
        <v>15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I400" t="s">
        <v>47</v>
      </c>
      <c r="J400">
        <v>21</v>
      </c>
      <c r="K400" s="18">
        <f t="shared" si="12"/>
        <v>7.431321753814963E-3</v>
      </c>
      <c r="L400">
        <f t="shared" si="13"/>
        <v>295015.10399999999</v>
      </c>
    </row>
    <row r="401" spans="1:12" x14ac:dyDescent="0.3">
      <c r="A401" s="13">
        <v>43969</v>
      </c>
      <c r="B401" s="16" t="s">
        <v>14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I401" t="s">
        <v>47</v>
      </c>
      <c r="J401">
        <v>21</v>
      </c>
      <c r="K401" s="18">
        <f t="shared" si="12"/>
        <v>5.5488292852568311E-3</v>
      </c>
      <c r="L401">
        <f t="shared" si="13"/>
        <v>213451.81509767444</v>
      </c>
    </row>
    <row r="402" spans="1:12" x14ac:dyDescent="0.3">
      <c r="A402" s="13">
        <v>43969</v>
      </c>
      <c r="B402" s="16" t="s">
        <v>12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I402" t="s">
        <v>47</v>
      </c>
      <c r="J402">
        <v>21</v>
      </c>
      <c r="K402" s="18">
        <f t="shared" si="12"/>
        <v>1.8870610913861716E-4</v>
      </c>
      <c r="L402">
        <f t="shared" si="13"/>
        <v>93642.75</v>
      </c>
    </row>
    <row r="403" spans="1:12" x14ac:dyDescent="0.3">
      <c r="A403" s="13">
        <v>43975</v>
      </c>
      <c r="B403" s="16" t="s">
        <v>20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I403" t="s">
        <v>43</v>
      </c>
      <c r="J403">
        <v>21</v>
      </c>
      <c r="K403" s="18">
        <f t="shared" si="12"/>
        <v>5.0921525215497619E-4</v>
      </c>
      <c r="L403">
        <f t="shared" si="13"/>
        <v>132995.21052631579</v>
      </c>
    </row>
    <row r="404" spans="1:12" x14ac:dyDescent="0.3">
      <c r="A404" s="13">
        <v>43982</v>
      </c>
      <c r="B404" s="16" t="s">
        <v>20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I404" t="s">
        <v>43</v>
      </c>
      <c r="J404">
        <v>22</v>
      </c>
      <c r="K404" s="18">
        <f t="shared" si="12"/>
        <v>5.6310403535320336E-4</v>
      </c>
      <c r="L404">
        <f t="shared" si="13"/>
        <v>133063.07142857142</v>
      </c>
    </row>
    <row r="405" spans="1:12" x14ac:dyDescent="0.3">
      <c r="A405" s="13">
        <v>43970</v>
      </c>
      <c r="B405" s="16" t="s">
        <v>22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I405" t="s">
        <v>44</v>
      </c>
      <c r="J405">
        <v>21</v>
      </c>
      <c r="K405" s="18">
        <f t="shared" si="12"/>
        <v>4.1492507090586722E-3</v>
      </c>
      <c r="L405">
        <f t="shared" si="13"/>
        <v>381297.63888888888</v>
      </c>
    </row>
    <row r="406" spans="1:12" x14ac:dyDescent="0.3">
      <c r="A406" s="13">
        <v>43981</v>
      </c>
      <c r="B406" s="16" t="s">
        <v>20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I406" t="s">
        <v>45</v>
      </c>
      <c r="J406">
        <v>22</v>
      </c>
      <c r="K406" s="18">
        <f t="shared" si="12"/>
        <v>6.0562604772072251E-4</v>
      </c>
      <c r="L406">
        <f t="shared" si="13"/>
        <v>150266.70000000001</v>
      </c>
    </row>
    <row r="407" spans="1:12" x14ac:dyDescent="0.3">
      <c r="A407" s="13">
        <v>43970</v>
      </c>
      <c r="B407" s="16" t="s">
        <v>21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I407" t="s">
        <v>44</v>
      </c>
      <c r="J407">
        <v>21</v>
      </c>
      <c r="K407" s="18">
        <f t="shared" si="12"/>
        <v>4.4224646060571637E-3</v>
      </c>
      <c r="L407">
        <f t="shared" si="13"/>
        <v>365764.3</v>
      </c>
    </row>
    <row r="408" spans="1:12" x14ac:dyDescent="0.3">
      <c r="A408" s="13">
        <v>43979</v>
      </c>
      <c r="B408" s="16" t="s">
        <v>20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I408" t="s">
        <v>46</v>
      </c>
      <c r="J408">
        <v>22</v>
      </c>
      <c r="K408" s="18">
        <f t="shared" si="12"/>
        <v>5.1572475672468406E-4</v>
      </c>
      <c r="L408">
        <f t="shared" si="13"/>
        <v>127960.575</v>
      </c>
    </row>
    <row r="409" spans="1:12" x14ac:dyDescent="0.3">
      <c r="A409" s="13">
        <v>43970</v>
      </c>
      <c r="B409" s="16" t="s">
        <v>23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I409" t="s">
        <v>44</v>
      </c>
      <c r="J409">
        <v>21</v>
      </c>
      <c r="K409" s="18">
        <f t="shared" si="12"/>
        <v>2.2707153003466874E-4</v>
      </c>
      <c r="L409">
        <f t="shared" si="13"/>
        <v>66282.970588235301</v>
      </c>
    </row>
    <row r="410" spans="1:12" x14ac:dyDescent="0.3">
      <c r="A410" s="13">
        <v>43977</v>
      </c>
      <c r="B410" s="16" t="s">
        <v>21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I410" t="s">
        <v>44</v>
      </c>
      <c r="J410">
        <v>22</v>
      </c>
      <c r="K410" s="18">
        <f t="shared" si="12"/>
        <v>5.0708605321192687E-3</v>
      </c>
      <c r="L410">
        <f t="shared" si="13"/>
        <v>426498.83898305084</v>
      </c>
    </row>
    <row r="411" spans="1:12" x14ac:dyDescent="0.3">
      <c r="A411" s="13">
        <v>43972</v>
      </c>
      <c r="B411" s="16" t="s">
        <v>21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I411" t="s">
        <v>46</v>
      </c>
      <c r="J411">
        <v>21</v>
      </c>
      <c r="K411" s="18">
        <f t="shared" si="12"/>
        <v>4.4844184039488835E-3</v>
      </c>
      <c r="L411">
        <f t="shared" si="13"/>
        <v>370888.25</v>
      </c>
    </row>
    <row r="412" spans="1:12" x14ac:dyDescent="0.3">
      <c r="A412" s="13">
        <v>43971</v>
      </c>
      <c r="B412" s="16" t="s">
        <v>21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I412" t="s">
        <v>48</v>
      </c>
      <c r="J412">
        <v>21</v>
      </c>
      <c r="K412" s="18">
        <f t="shared" si="12"/>
        <v>4.4251705770303714E-3</v>
      </c>
      <c r="L412">
        <f t="shared" si="13"/>
        <v>365988.1</v>
      </c>
    </row>
    <row r="413" spans="1:12" x14ac:dyDescent="0.3">
      <c r="A413" s="13">
        <v>43971</v>
      </c>
      <c r="B413" s="16" t="s">
        <v>22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I413" t="s">
        <v>48</v>
      </c>
      <c r="J413">
        <v>21</v>
      </c>
      <c r="K413" s="18">
        <f t="shared" si="12"/>
        <v>4.3147520289099541E-3</v>
      </c>
      <c r="L413">
        <f t="shared" si="13"/>
        <v>396506.47222222225</v>
      </c>
    </row>
    <row r="414" spans="1:12" x14ac:dyDescent="0.3">
      <c r="A414" s="13">
        <v>43971</v>
      </c>
      <c r="B414" s="16" t="s">
        <v>23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I414" t="s">
        <v>48</v>
      </c>
      <c r="J414">
        <v>21</v>
      </c>
      <c r="K414" s="18">
        <f t="shared" si="12"/>
        <v>2.4539728921939654E-4</v>
      </c>
      <c r="L414">
        <f t="shared" si="13"/>
        <v>71632.323529411762</v>
      </c>
    </row>
    <row r="415" spans="1:12" x14ac:dyDescent="0.3">
      <c r="A415" s="13">
        <v>43974</v>
      </c>
      <c r="B415" s="16" t="s">
        <v>21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I415" t="s">
        <v>45</v>
      </c>
      <c r="J415">
        <v>21</v>
      </c>
      <c r="K415" s="18">
        <f t="shared" si="12"/>
        <v>5.761555995723572E-3</v>
      </c>
      <c r="L415">
        <f t="shared" si="13"/>
        <v>476515.17499999999</v>
      </c>
    </row>
    <row r="416" spans="1:12" x14ac:dyDescent="0.3">
      <c r="A416" s="13">
        <v>43976</v>
      </c>
      <c r="B416" s="16" t="s">
        <v>21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I416" t="s">
        <v>47</v>
      </c>
      <c r="J416">
        <v>22</v>
      </c>
      <c r="K416" s="18">
        <f t="shared" si="12"/>
        <v>4.147773790585136E-3</v>
      </c>
      <c r="L416">
        <f t="shared" si="13"/>
        <v>348860.05932203389</v>
      </c>
    </row>
    <row r="417" spans="1:12" x14ac:dyDescent="0.3">
      <c r="A417" s="13">
        <v>43975</v>
      </c>
      <c r="B417" s="16" t="s">
        <v>21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I417" t="s">
        <v>43</v>
      </c>
      <c r="J417">
        <v>21</v>
      </c>
      <c r="K417" s="18">
        <f t="shared" si="12"/>
        <v>4.0222402544682631E-3</v>
      </c>
      <c r="L417">
        <f t="shared" si="13"/>
        <v>332663.34999999998</v>
      </c>
    </row>
    <row r="418" spans="1:12" x14ac:dyDescent="0.3">
      <c r="A418" s="13">
        <v>43972</v>
      </c>
      <c r="B418" s="16" t="s">
        <v>22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I418" t="s">
        <v>46</v>
      </c>
      <c r="J418">
        <v>21</v>
      </c>
      <c r="K418" s="18">
        <f t="shared" si="12"/>
        <v>4.2404575282755869E-3</v>
      </c>
      <c r="L418">
        <f t="shared" si="13"/>
        <v>389679.13888888888</v>
      </c>
    </row>
    <row r="419" spans="1:12" x14ac:dyDescent="0.3">
      <c r="A419" s="13">
        <v>43972</v>
      </c>
      <c r="B419" s="16" t="s">
        <v>23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I419" t="s">
        <v>46</v>
      </c>
      <c r="J419">
        <v>21</v>
      </c>
      <c r="K419" s="18">
        <f t="shared" si="12"/>
        <v>2.3629365564029769E-4</v>
      </c>
      <c r="L419">
        <f t="shared" si="13"/>
        <v>65143</v>
      </c>
    </row>
    <row r="420" spans="1:12" x14ac:dyDescent="0.3">
      <c r="A420" s="13">
        <v>43977</v>
      </c>
      <c r="B420" s="16" t="s">
        <v>22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I420" t="s">
        <v>44</v>
      </c>
      <c r="J420">
        <v>22</v>
      </c>
      <c r="K420" s="18">
        <f t="shared" si="12"/>
        <v>4.807460314032324E-3</v>
      </c>
      <c r="L420">
        <f t="shared" si="13"/>
        <v>441784.16666666669</v>
      </c>
    </row>
    <row r="421" spans="1:12" x14ac:dyDescent="0.3">
      <c r="A421" s="13">
        <v>43973</v>
      </c>
      <c r="B421" s="16" t="s">
        <v>16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I421" t="s">
        <v>49</v>
      </c>
      <c r="J421">
        <v>21</v>
      </c>
      <c r="K421" s="18">
        <f t="shared" si="12"/>
        <v>1.1977143814103821E-3</v>
      </c>
      <c r="L421">
        <f t="shared" si="13"/>
        <v>165096.91666666666</v>
      </c>
    </row>
    <row r="422" spans="1:12" x14ac:dyDescent="0.3">
      <c r="A422" s="13">
        <v>43973</v>
      </c>
      <c r="B422" s="16" t="s">
        <v>11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I422" t="s">
        <v>49</v>
      </c>
      <c r="J422">
        <v>21</v>
      </c>
      <c r="K422" s="18">
        <f t="shared" si="12"/>
        <v>1.5574174826817697E-3</v>
      </c>
      <c r="L422">
        <f t="shared" si="13"/>
        <v>249305.32258064515</v>
      </c>
    </row>
    <row r="423" spans="1:12" x14ac:dyDescent="0.3">
      <c r="A423" s="13">
        <v>43973</v>
      </c>
      <c r="B423" s="16" t="s">
        <v>17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I423" t="s">
        <v>49</v>
      </c>
      <c r="J423">
        <v>21</v>
      </c>
      <c r="K423" s="18">
        <f t="shared" si="12"/>
        <v>9.7551039500636135E-4</v>
      </c>
      <c r="L423">
        <f t="shared" si="13"/>
        <v>230515.85714285713</v>
      </c>
    </row>
    <row r="424" spans="1:12" x14ac:dyDescent="0.3">
      <c r="A424" s="13">
        <v>43982</v>
      </c>
      <c r="B424" s="16" t="s">
        <v>21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I424" t="s">
        <v>43</v>
      </c>
      <c r="J424">
        <v>22</v>
      </c>
      <c r="K424" s="18">
        <f t="shared" si="12"/>
        <v>4.3498093458816554E-3</v>
      </c>
      <c r="L424">
        <f t="shared" si="13"/>
        <v>365852.82203389832</v>
      </c>
    </row>
    <row r="425" spans="1:12" x14ac:dyDescent="0.3">
      <c r="A425" s="13">
        <v>43973</v>
      </c>
      <c r="B425" s="16" t="s">
        <v>10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I425" t="s">
        <v>49</v>
      </c>
      <c r="J425">
        <v>21</v>
      </c>
      <c r="K425" s="18">
        <f t="shared" si="12"/>
        <v>6.2290321292577451E-4</v>
      </c>
      <c r="L425">
        <f t="shared" si="13"/>
        <v>147193.78571428571</v>
      </c>
    </row>
    <row r="426" spans="1:12" x14ac:dyDescent="0.3">
      <c r="A426" s="13">
        <v>43973</v>
      </c>
      <c r="B426" s="16" t="s">
        <v>20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I426" t="s">
        <v>49</v>
      </c>
      <c r="J426">
        <v>21</v>
      </c>
      <c r="K426" s="18">
        <f t="shared" si="12"/>
        <v>5.1199739657381029E-4</v>
      </c>
      <c r="L426">
        <f t="shared" si="13"/>
        <v>133721.84210526315</v>
      </c>
    </row>
    <row r="427" spans="1:12" x14ac:dyDescent="0.3">
      <c r="A427" s="13">
        <v>43981</v>
      </c>
      <c r="B427" s="16" t="s">
        <v>21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I427" t="s">
        <v>45</v>
      </c>
      <c r="J427">
        <v>22</v>
      </c>
      <c r="K427" s="18">
        <f t="shared" si="12"/>
        <v>4.9426582049252677E-3</v>
      </c>
      <c r="L427">
        <f t="shared" si="13"/>
        <v>415716.0254237288</v>
      </c>
    </row>
    <row r="428" spans="1:12" x14ac:dyDescent="0.3">
      <c r="A428" s="13">
        <v>43973</v>
      </c>
      <c r="B428" s="16" t="s">
        <v>22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I428" t="s">
        <v>49</v>
      </c>
      <c r="J428">
        <v>21</v>
      </c>
      <c r="K428" s="18">
        <f t="shared" si="12"/>
        <v>4.1940908728329753E-3</v>
      </c>
      <c r="L428">
        <f t="shared" si="13"/>
        <v>385418.25</v>
      </c>
    </row>
    <row r="429" spans="1:12" x14ac:dyDescent="0.3">
      <c r="A429" s="13">
        <v>43973</v>
      </c>
      <c r="B429" s="16" t="s">
        <v>21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I429" t="s">
        <v>49</v>
      </c>
      <c r="J429">
        <v>21</v>
      </c>
      <c r="K429" s="18">
        <f t="shared" si="12"/>
        <v>4.5101072939352609E-3</v>
      </c>
      <c r="L429">
        <f t="shared" si="13"/>
        <v>373012.875</v>
      </c>
    </row>
    <row r="430" spans="1:12" x14ac:dyDescent="0.3">
      <c r="A430" s="13">
        <v>43974</v>
      </c>
      <c r="B430" s="16" t="s">
        <v>22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I430" t="s">
        <v>45</v>
      </c>
      <c r="J430">
        <v>21</v>
      </c>
      <c r="K430" s="18">
        <f t="shared" si="12"/>
        <v>5.4019922434935886E-3</v>
      </c>
      <c r="L430">
        <f t="shared" si="13"/>
        <v>496419</v>
      </c>
    </row>
    <row r="431" spans="1:12" x14ac:dyDescent="0.3">
      <c r="A431" s="13">
        <v>43973</v>
      </c>
      <c r="B431" s="16" t="s">
        <v>13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I431" t="s">
        <v>49</v>
      </c>
      <c r="J431">
        <v>21</v>
      </c>
      <c r="K431" s="18">
        <f t="shared" si="12"/>
        <v>6.8801548833079327E-4</v>
      </c>
      <c r="L431">
        <f t="shared" si="13"/>
        <v>170709</v>
      </c>
    </row>
    <row r="432" spans="1:12" x14ac:dyDescent="0.3">
      <c r="A432" s="13">
        <v>43979</v>
      </c>
      <c r="B432" s="16" t="s">
        <v>21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I432" t="s">
        <v>46</v>
      </c>
      <c r="J432">
        <v>22</v>
      </c>
      <c r="K432" s="18">
        <f t="shared" si="12"/>
        <v>4.138300473974287E-3</v>
      </c>
      <c r="L432">
        <f t="shared" si="13"/>
        <v>342262.22499999998</v>
      </c>
    </row>
    <row r="433" spans="1:12" x14ac:dyDescent="0.3">
      <c r="A433" s="13">
        <v>43973</v>
      </c>
      <c r="B433" s="16" t="s">
        <v>23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I433" t="s">
        <v>49</v>
      </c>
      <c r="J433">
        <v>21</v>
      </c>
      <c r="K433" s="18">
        <f t="shared" si="12"/>
        <v>2.8187620823388106E-4</v>
      </c>
      <c r="L433">
        <f t="shared" si="13"/>
        <v>77709.5</v>
      </c>
    </row>
    <row r="434" spans="1:12" x14ac:dyDescent="0.3">
      <c r="A434" s="13">
        <v>43976</v>
      </c>
      <c r="B434" s="16" t="s">
        <v>22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I434" t="s">
        <v>47</v>
      </c>
      <c r="J434">
        <v>22</v>
      </c>
      <c r="K434" s="18">
        <f t="shared" si="12"/>
        <v>3.9914335366727513E-3</v>
      </c>
      <c r="L434">
        <f t="shared" si="13"/>
        <v>366794.94444444444</v>
      </c>
    </row>
    <row r="435" spans="1:12" x14ac:dyDescent="0.3">
      <c r="A435" s="13">
        <v>43973</v>
      </c>
      <c r="B435" s="16" t="s">
        <v>18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I435" t="s">
        <v>49</v>
      </c>
      <c r="J435">
        <v>21</v>
      </c>
      <c r="K435" s="18">
        <f t="shared" si="12"/>
        <v>3.5755754921957487E-4</v>
      </c>
      <c r="L435">
        <f t="shared" si="13"/>
        <v>104372.29411764706</v>
      </c>
    </row>
    <row r="436" spans="1:12" x14ac:dyDescent="0.3">
      <c r="A436" s="13">
        <v>43973</v>
      </c>
      <c r="B436" s="16" t="s">
        <v>19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I436" t="s">
        <v>49</v>
      </c>
      <c r="J436">
        <v>21</v>
      </c>
      <c r="K436" s="18">
        <f t="shared" si="12"/>
        <v>2.8452384002055725E-4</v>
      </c>
      <c r="L436">
        <f t="shared" si="13"/>
        <v>94127.3</v>
      </c>
    </row>
    <row r="437" spans="1:12" x14ac:dyDescent="0.3">
      <c r="A437" s="13">
        <v>43973</v>
      </c>
      <c r="B437" s="16" t="s">
        <v>15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I437" t="s">
        <v>49</v>
      </c>
      <c r="J437">
        <v>21</v>
      </c>
      <c r="K437" s="18">
        <f t="shared" si="12"/>
        <v>7.9595957834310335E-3</v>
      </c>
      <c r="L437">
        <f t="shared" si="13"/>
        <v>315986.98800000001</v>
      </c>
    </row>
    <row r="438" spans="1:12" x14ac:dyDescent="0.3">
      <c r="A438" s="13">
        <v>43973</v>
      </c>
      <c r="B438" s="16" t="s">
        <v>14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I438" t="s">
        <v>49</v>
      </c>
      <c r="J438">
        <v>21</v>
      </c>
      <c r="K438" s="18">
        <f t="shared" si="12"/>
        <v>5.9378549014924079E-3</v>
      </c>
      <c r="L438">
        <f t="shared" si="13"/>
        <v>228416.81395348837</v>
      </c>
    </row>
    <row r="439" spans="1:12" x14ac:dyDescent="0.3">
      <c r="A439" s="13">
        <v>43973</v>
      </c>
      <c r="B439" s="16" t="s">
        <v>12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I439" t="s">
        <v>49</v>
      </c>
      <c r="J439">
        <v>21</v>
      </c>
      <c r="K439" s="18">
        <f t="shared" si="12"/>
        <v>2.9321728564046904E-4</v>
      </c>
      <c r="L439">
        <f t="shared" si="13"/>
        <v>145504.95000000001</v>
      </c>
    </row>
    <row r="440" spans="1:12" x14ac:dyDescent="0.3">
      <c r="A440" s="13">
        <v>43975</v>
      </c>
      <c r="B440" s="16" t="s">
        <v>22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I440" t="s">
        <v>43</v>
      </c>
      <c r="J440">
        <v>21</v>
      </c>
      <c r="K440" s="18">
        <f t="shared" si="12"/>
        <v>3.8431552746980807E-3</v>
      </c>
      <c r="L440">
        <f t="shared" si="13"/>
        <v>353168.83333333331</v>
      </c>
    </row>
    <row r="441" spans="1:12" x14ac:dyDescent="0.3">
      <c r="A441" s="13">
        <v>43982</v>
      </c>
      <c r="B441" s="16" t="s">
        <v>22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I441" t="s">
        <v>43</v>
      </c>
      <c r="J441">
        <v>22</v>
      </c>
      <c r="K441" s="18">
        <f t="shared" si="12"/>
        <v>4.1748788416538949E-3</v>
      </c>
      <c r="L441">
        <f t="shared" si="13"/>
        <v>383652.75</v>
      </c>
    </row>
    <row r="442" spans="1:12" x14ac:dyDescent="0.3">
      <c r="A442" s="13">
        <v>43981</v>
      </c>
      <c r="B442" s="16" t="s">
        <v>22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I442" t="s">
        <v>45</v>
      </c>
      <c r="J442">
        <v>22</v>
      </c>
      <c r="K442" s="18">
        <f t="shared" si="12"/>
        <v>4.8670358076772615E-3</v>
      </c>
      <c r="L442">
        <f t="shared" si="13"/>
        <v>447258.88888888888</v>
      </c>
    </row>
    <row r="443" spans="1:12" x14ac:dyDescent="0.3">
      <c r="A443" s="13">
        <v>43979</v>
      </c>
      <c r="B443" s="16" t="s">
        <v>22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I443" t="s">
        <v>46</v>
      </c>
      <c r="J443">
        <v>22</v>
      </c>
      <c r="K443" s="18">
        <f t="shared" si="12"/>
        <v>3.9394642033940804E-3</v>
      </c>
      <c r="L443">
        <f t="shared" si="13"/>
        <v>362019.19444444444</v>
      </c>
    </row>
    <row r="444" spans="1:12" x14ac:dyDescent="0.3">
      <c r="A444" s="13">
        <v>43974</v>
      </c>
      <c r="B444" s="16" t="s">
        <v>23</v>
      </c>
      <c r="C444">
        <v>17943</v>
      </c>
      <c r="D444">
        <v>1457391</v>
      </c>
      <c r="E444">
        <v>18</v>
      </c>
      <c r="F444">
        <v>1031</v>
      </c>
      <c r="G444">
        <v>918</v>
      </c>
      <c r="I444" t="s">
        <v>45</v>
      </c>
      <c r="J444">
        <v>21</v>
      </c>
      <c r="K444" s="18">
        <f t="shared" si="12"/>
        <v>2.9368913781754424E-4</v>
      </c>
      <c r="L444">
        <f t="shared" si="13"/>
        <v>80966.166666666672</v>
      </c>
    </row>
    <row r="445" spans="1:12" x14ac:dyDescent="0.3">
      <c r="A445" s="13">
        <v>43977</v>
      </c>
      <c r="B445" s="16" t="s">
        <v>24</v>
      </c>
      <c r="C445">
        <v>10437</v>
      </c>
      <c r="D445">
        <v>833815.5</v>
      </c>
      <c r="E445">
        <v>7</v>
      </c>
      <c r="F445">
        <v>577</v>
      </c>
      <c r="G445">
        <v>389</v>
      </c>
      <c r="I445" t="s">
        <v>44</v>
      </c>
      <c r="J445">
        <v>22</v>
      </c>
      <c r="K445" s="18">
        <f t="shared" si="12"/>
        <v>1.6802804140680471E-4</v>
      </c>
      <c r="L445">
        <f t="shared" si="13"/>
        <v>119116.5</v>
      </c>
    </row>
    <row r="446" spans="1:12" x14ac:dyDescent="0.3">
      <c r="A446" s="13">
        <v>43976</v>
      </c>
      <c r="B446" s="16" t="s">
        <v>23</v>
      </c>
      <c r="C446">
        <v>15807</v>
      </c>
      <c r="D446">
        <v>1326705</v>
      </c>
      <c r="E446">
        <v>18</v>
      </c>
      <c r="F446">
        <v>989</v>
      </c>
      <c r="G446">
        <v>887</v>
      </c>
      <c r="I446" t="s">
        <v>47</v>
      </c>
      <c r="J446">
        <v>22</v>
      </c>
      <c r="K446" s="18">
        <f t="shared" si="12"/>
        <v>2.6735368037007572E-4</v>
      </c>
      <c r="L446">
        <f t="shared" si="13"/>
        <v>73705.833333333328</v>
      </c>
    </row>
    <row r="447" spans="1:12" x14ac:dyDescent="0.3">
      <c r="A447" s="13">
        <v>43975</v>
      </c>
      <c r="B447" s="16" t="s">
        <v>23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I447" t="s">
        <v>43</v>
      </c>
      <c r="J447">
        <v>21</v>
      </c>
      <c r="K447" s="18">
        <f t="shared" si="12"/>
        <v>2.7935553218991568E-4</v>
      </c>
      <c r="L447">
        <f t="shared" si="13"/>
        <v>77014.583333333328</v>
      </c>
    </row>
    <row r="448" spans="1:12" x14ac:dyDescent="0.3">
      <c r="A448" s="13">
        <v>43977</v>
      </c>
      <c r="B448" s="16" t="s">
        <v>23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I448" t="s">
        <v>44</v>
      </c>
      <c r="J448">
        <v>22</v>
      </c>
      <c r="K448" s="18">
        <f t="shared" si="12"/>
        <v>2.4392762535972997E-4</v>
      </c>
      <c r="L448">
        <f t="shared" si="13"/>
        <v>67247.583333333328</v>
      </c>
    </row>
    <row r="449" spans="1:12" x14ac:dyDescent="0.3">
      <c r="A449" s="13">
        <v>43983</v>
      </c>
      <c r="B449" s="16" t="s">
        <v>9</v>
      </c>
      <c r="C449">
        <v>7816.5</v>
      </c>
      <c r="D449">
        <v>636345</v>
      </c>
      <c r="E449">
        <v>15</v>
      </c>
      <c r="F449">
        <v>453</v>
      </c>
      <c r="G449">
        <v>370</v>
      </c>
      <c r="I449" t="s">
        <v>47</v>
      </c>
      <c r="J449">
        <v>23</v>
      </c>
      <c r="K449" s="18">
        <f t="shared" si="12"/>
        <v>1.2823436840525649E-4</v>
      </c>
      <c r="L449">
        <f t="shared" si="13"/>
        <v>42423</v>
      </c>
    </row>
    <row r="450" spans="1:12" x14ac:dyDescent="0.3">
      <c r="A450" s="13">
        <v>43982</v>
      </c>
      <c r="B450" s="16" t="s">
        <v>25</v>
      </c>
      <c r="C450">
        <v>6409.5</v>
      </c>
      <c r="D450">
        <v>493893</v>
      </c>
      <c r="E450">
        <v>9</v>
      </c>
      <c r="F450">
        <v>345</v>
      </c>
      <c r="G450">
        <v>255</v>
      </c>
      <c r="I450" t="s">
        <v>43</v>
      </c>
      <c r="J450">
        <v>22</v>
      </c>
      <c r="K450" s="18">
        <f t="shared" ref="K450:K505" si="14" xml:space="preserve"> D450/SUM($D$2:$D$505)</f>
        <v>9.9527861324874635E-5</v>
      </c>
      <c r="L450">
        <f t="shared" ref="L450:L505" si="15">D450/E450</f>
        <v>54877</v>
      </c>
    </row>
    <row r="451" spans="1:12" x14ac:dyDescent="0.3">
      <c r="A451" s="13">
        <v>43981</v>
      </c>
      <c r="B451" s="16" t="s">
        <v>24</v>
      </c>
      <c r="C451">
        <v>11220</v>
      </c>
      <c r="D451">
        <v>928675.5</v>
      </c>
      <c r="E451">
        <v>7</v>
      </c>
      <c r="F451">
        <v>532</v>
      </c>
      <c r="G451">
        <v>449</v>
      </c>
      <c r="I451" t="s">
        <v>45</v>
      </c>
      <c r="J451">
        <v>22</v>
      </c>
      <c r="K451" s="18">
        <f t="shared" si="14"/>
        <v>1.871439489521184E-4</v>
      </c>
      <c r="L451">
        <f t="shared" si="15"/>
        <v>132667.92857142858</v>
      </c>
    </row>
    <row r="452" spans="1:12" x14ac:dyDescent="0.3">
      <c r="A452" s="13">
        <v>43980</v>
      </c>
      <c r="B452" s="16" t="s">
        <v>9</v>
      </c>
      <c r="C452">
        <v>8350.5</v>
      </c>
      <c r="D452">
        <v>651237</v>
      </c>
      <c r="E452">
        <v>15</v>
      </c>
      <c r="F452">
        <v>400</v>
      </c>
      <c r="G452">
        <v>329</v>
      </c>
      <c r="I452" t="s">
        <v>49</v>
      </c>
      <c r="J452">
        <v>22</v>
      </c>
      <c r="K452" s="18">
        <f t="shared" si="14"/>
        <v>1.3123536034247778E-4</v>
      </c>
      <c r="L452">
        <f t="shared" si="15"/>
        <v>43415.8</v>
      </c>
    </row>
    <row r="453" spans="1:12" x14ac:dyDescent="0.3">
      <c r="A453" s="13">
        <v>43979</v>
      </c>
      <c r="B453" s="16" t="s">
        <v>24</v>
      </c>
      <c r="C453">
        <v>8428.5</v>
      </c>
      <c r="D453">
        <v>694669.5</v>
      </c>
      <c r="E453">
        <v>7</v>
      </c>
      <c r="F453">
        <v>420</v>
      </c>
      <c r="G453">
        <v>347</v>
      </c>
      <c r="I453" t="s">
        <v>46</v>
      </c>
      <c r="J453">
        <v>22</v>
      </c>
      <c r="K453" s="18">
        <f t="shared" si="14"/>
        <v>1.3998774970007673E-4</v>
      </c>
      <c r="L453">
        <f t="shared" si="15"/>
        <v>99238.5</v>
      </c>
    </row>
    <row r="454" spans="1:12" x14ac:dyDescent="0.3">
      <c r="A454" s="13">
        <v>43978</v>
      </c>
      <c r="B454" s="16" t="s">
        <v>10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I454" t="s">
        <v>48</v>
      </c>
      <c r="J454">
        <v>22</v>
      </c>
      <c r="K454" s="18">
        <f t="shared" si="14"/>
        <v>6.0772535160911914E-4</v>
      </c>
      <c r="L454">
        <f t="shared" si="15"/>
        <v>150787.57500000001</v>
      </c>
    </row>
    <row r="455" spans="1:12" x14ac:dyDescent="0.3">
      <c r="A455" s="13">
        <v>43982</v>
      </c>
      <c r="B455" s="16" t="s">
        <v>26</v>
      </c>
      <c r="C455">
        <v>5127</v>
      </c>
      <c r="D455">
        <v>468835.5</v>
      </c>
      <c r="E455">
        <v>6</v>
      </c>
      <c r="F455">
        <v>261</v>
      </c>
      <c r="G455">
        <v>188</v>
      </c>
      <c r="I455" t="s">
        <v>43</v>
      </c>
      <c r="J455">
        <v>22</v>
      </c>
      <c r="K455" s="18">
        <f t="shared" si="14"/>
        <v>9.4478347796341029E-5</v>
      </c>
      <c r="L455">
        <f t="shared" si="15"/>
        <v>78139.25</v>
      </c>
    </row>
    <row r="456" spans="1:12" x14ac:dyDescent="0.3">
      <c r="A456" s="13">
        <v>43981</v>
      </c>
      <c r="B456" s="16" t="s">
        <v>23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I456" t="s">
        <v>45</v>
      </c>
      <c r="J456">
        <v>22</v>
      </c>
      <c r="K456" s="18">
        <f t="shared" si="14"/>
        <v>3.5732086744209255E-4</v>
      </c>
      <c r="L456">
        <f t="shared" si="15"/>
        <v>98508.583333333328</v>
      </c>
    </row>
    <row r="457" spans="1:12" x14ac:dyDescent="0.3">
      <c r="A457" s="13">
        <v>43979</v>
      </c>
      <c r="B457" s="16" t="s">
        <v>23</v>
      </c>
      <c r="C457">
        <v>15678</v>
      </c>
      <c r="D457">
        <v>1387443</v>
      </c>
      <c r="E457">
        <v>18</v>
      </c>
      <c r="F457">
        <v>1020</v>
      </c>
      <c r="G457">
        <v>911</v>
      </c>
      <c r="I457" t="s">
        <v>46</v>
      </c>
      <c r="J457">
        <v>22</v>
      </c>
      <c r="K457" s="18">
        <f t="shared" si="14"/>
        <v>2.7959342306970949E-4</v>
      </c>
      <c r="L457">
        <f t="shared" si="15"/>
        <v>77080.166666666672</v>
      </c>
    </row>
    <row r="458" spans="1:12" x14ac:dyDescent="0.3">
      <c r="A458" s="13">
        <v>43983</v>
      </c>
      <c r="B458" s="16" t="s">
        <v>10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I458" t="s">
        <v>47</v>
      </c>
      <c r="J458">
        <v>23</v>
      </c>
      <c r="K458" s="18">
        <f t="shared" si="14"/>
        <v>5.9347487176540832E-4</v>
      </c>
      <c r="L458">
        <f t="shared" si="15"/>
        <v>140239.78571428571</v>
      </c>
    </row>
    <row r="459" spans="1:12" x14ac:dyDescent="0.3">
      <c r="A459" s="13">
        <v>43982</v>
      </c>
      <c r="B459" s="16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  <c r="I459" t="s">
        <v>43</v>
      </c>
      <c r="J459">
        <v>22</v>
      </c>
      <c r="K459" s="18">
        <f t="shared" si="14"/>
        <v>1.7451850261510605E-4</v>
      </c>
      <c r="L459">
        <f t="shared" si="15"/>
        <v>123717.64285714286</v>
      </c>
    </row>
    <row r="460" spans="1:12" x14ac:dyDescent="0.3">
      <c r="A460" s="13">
        <v>43980</v>
      </c>
      <c r="B460" s="16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I460" t="s">
        <v>49</v>
      </c>
      <c r="J460">
        <v>22</v>
      </c>
      <c r="K460" s="18">
        <f t="shared" si="14"/>
        <v>6.4347760013437312E-4</v>
      </c>
      <c r="L460">
        <f t="shared" si="15"/>
        <v>159658.35</v>
      </c>
    </row>
    <row r="461" spans="1:12" x14ac:dyDescent="0.3">
      <c r="A461" s="13">
        <v>43978</v>
      </c>
      <c r="B461" s="16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I461" t="s">
        <v>48</v>
      </c>
      <c r="J461">
        <v>22</v>
      </c>
      <c r="K461" s="18">
        <f t="shared" si="14"/>
        <v>1.3503825916026458E-3</v>
      </c>
      <c r="L461">
        <f t="shared" si="15"/>
        <v>216163.98387096773</v>
      </c>
    </row>
    <row r="462" spans="1:12" x14ac:dyDescent="0.3">
      <c r="A462" s="13">
        <v>43983</v>
      </c>
      <c r="B462" s="16" t="s">
        <v>11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I462" t="s">
        <v>47</v>
      </c>
      <c r="J462">
        <v>23</v>
      </c>
      <c r="K462" s="18">
        <f t="shared" si="14"/>
        <v>1.3763456455381626E-3</v>
      </c>
      <c r="L462">
        <f t="shared" si="15"/>
        <v>220320.04838709679</v>
      </c>
    </row>
    <row r="463" spans="1:12" x14ac:dyDescent="0.3">
      <c r="A463" s="13">
        <v>43982</v>
      </c>
      <c r="B463" s="16" t="s">
        <v>23</v>
      </c>
      <c r="C463">
        <v>16143</v>
      </c>
      <c r="D463">
        <v>1423410</v>
      </c>
      <c r="E463">
        <v>18</v>
      </c>
      <c r="F463">
        <v>1029</v>
      </c>
      <c r="G463">
        <v>925</v>
      </c>
      <c r="I463" t="s">
        <v>43</v>
      </c>
      <c r="J463">
        <v>22</v>
      </c>
      <c r="K463" s="18">
        <f t="shared" si="14"/>
        <v>2.8684138687618536E-4</v>
      </c>
      <c r="L463">
        <f t="shared" si="15"/>
        <v>79078.333333333328</v>
      </c>
    </row>
    <row r="464" spans="1:12" x14ac:dyDescent="0.3">
      <c r="A464" s="13">
        <v>43978</v>
      </c>
      <c r="B464" s="16" t="s">
        <v>12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I464" t="s">
        <v>48</v>
      </c>
      <c r="J464">
        <v>22</v>
      </c>
      <c r="K464" s="18">
        <f t="shared" si="14"/>
        <v>2.1255988409166717E-4</v>
      </c>
      <c r="L464">
        <f t="shared" si="15"/>
        <v>105479.85</v>
      </c>
    </row>
    <row r="465" spans="1:12" x14ac:dyDescent="0.3">
      <c r="A465" s="13">
        <v>43983</v>
      </c>
      <c r="B465" s="16" t="s">
        <v>12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I465" t="s">
        <v>47</v>
      </c>
      <c r="J465">
        <v>23</v>
      </c>
      <c r="K465" s="18">
        <f t="shared" si="14"/>
        <v>2.0307719693790318E-4</v>
      </c>
      <c r="L465">
        <f t="shared" si="15"/>
        <v>100774.2</v>
      </c>
    </row>
    <row r="466" spans="1:12" x14ac:dyDescent="0.3">
      <c r="A466" s="13">
        <v>43978</v>
      </c>
      <c r="B466" s="16" t="s">
        <v>16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I466" t="s">
        <v>48</v>
      </c>
      <c r="J466">
        <v>22</v>
      </c>
      <c r="K466" s="18">
        <f t="shared" si="14"/>
        <v>1.2062597119971313E-3</v>
      </c>
      <c r="L466">
        <f t="shared" si="15"/>
        <v>166274.83333333334</v>
      </c>
    </row>
    <row r="467" spans="1:12" x14ac:dyDescent="0.3">
      <c r="A467" s="13">
        <v>43980</v>
      </c>
      <c r="B467" s="16" t="s">
        <v>11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I467" t="s">
        <v>49</v>
      </c>
      <c r="J467">
        <v>22</v>
      </c>
      <c r="K467" s="18">
        <f t="shared" si="14"/>
        <v>1.4886298385252729E-3</v>
      </c>
      <c r="L467">
        <f t="shared" si="15"/>
        <v>238294.06451612903</v>
      </c>
    </row>
    <row r="468" spans="1:12" x14ac:dyDescent="0.3">
      <c r="A468" s="13">
        <v>43978</v>
      </c>
      <c r="B468" s="16" t="s">
        <v>17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I468" t="s">
        <v>48</v>
      </c>
      <c r="J468">
        <v>22</v>
      </c>
      <c r="K468" s="18">
        <f t="shared" si="14"/>
        <v>7.6190614879310882E-4</v>
      </c>
      <c r="L468">
        <f t="shared" si="15"/>
        <v>180040.57142857142</v>
      </c>
    </row>
    <row r="469" spans="1:12" x14ac:dyDescent="0.3">
      <c r="A469" s="13">
        <v>43978</v>
      </c>
      <c r="B469" s="16" t="s">
        <v>20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I469" t="s">
        <v>48</v>
      </c>
      <c r="J469">
        <v>22</v>
      </c>
      <c r="K469" s="18">
        <f t="shared" si="14"/>
        <v>4.9544085634643093E-4</v>
      </c>
      <c r="L469">
        <f t="shared" si="15"/>
        <v>122927.77499999999</v>
      </c>
    </row>
    <row r="470" spans="1:12" x14ac:dyDescent="0.3">
      <c r="A470" s="13">
        <v>43980</v>
      </c>
      <c r="B470" s="16" t="s">
        <v>12</v>
      </c>
      <c r="C470">
        <v>14823</v>
      </c>
      <c r="D470">
        <v>1273464</v>
      </c>
      <c r="E470">
        <v>10</v>
      </c>
      <c r="F470">
        <v>873</v>
      </c>
      <c r="G470">
        <v>770</v>
      </c>
      <c r="I470" t="s">
        <v>49</v>
      </c>
      <c r="J470">
        <v>22</v>
      </c>
      <c r="K470" s="18">
        <f t="shared" si="14"/>
        <v>2.5662471100870059E-4</v>
      </c>
      <c r="L470">
        <f t="shared" si="15"/>
        <v>127346.4</v>
      </c>
    </row>
    <row r="471" spans="1:12" x14ac:dyDescent="0.3">
      <c r="A471" s="13">
        <v>43978</v>
      </c>
      <c r="B471" s="16" t="s">
        <v>22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I471" t="s">
        <v>48</v>
      </c>
      <c r="J471">
        <v>22</v>
      </c>
      <c r="K471" s="18">
        <f t="shared" si="14"/>
        <v>4.2224521812034149E-3</v>
      </c>
      <c r="L471">
        <f t="shared" si="15"/>
        <v>388024.52777777775</v>
      </c>
    </row>
    <row r="472" spans="1:12" x14ac:dyDescent="0.3">
      <c r="A472" s="13">
        <v>43978</v>
      </c>
      <c r="B472" s="16" t="s">
        <v>13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I472" t="s">
        <v>48</v>
      </c>
      <c r="J472">
        <v>22</v>
      </c>
      <c r="K472" s="18">
        <f t="shared" si="14"/>
        <v>5.8926266158761034E-4</v>
      </c>
      <c r="L472">
        <f t="shared" si="15"/>
        <v>146206.65</v>
      </c>
    </row>
    <row r="473" spans="1:12" x14ac:dyDescent="0.3">
      <c r="A473" s="13">
        <v>43978</v>
      </c>
      <c r="B473" s="16" t="s">
        <v>21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I473" t="s">
        <v>48</v>
      </c>
      <c r="J473">
        <v>22</v>
      </c>
      <c r="K473" s="18">
        <f t="shared" si="14"/>
        <v>4.5023545299137206E-3</v>
      </c>
      <c r="L473">
        <f t="shared" si="15"/>
        <v>378683.05932203389</v>
      </c>
    </row>
    <row r="474" spans="1:12" x14ac:dyDescent="0.3">
      <c r="A474" s="13">
        <v>43983</v>
      </c>
      <c r="B474" s="16" t="s">
        <v>13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I474" t="s">
        <v>47</v>
      </c>
      <c r="J474">
        <v>23</v>
      </c>
      <c r="K474" s="18">
        <f t="shared" si="14"/>
        <v>6.0727405417133993E-4</v>
      </c>
      <c r="L474">
        <f t="shared" si="15"/>
        <v>150675.6</v>
      </c>
    </row>
    <row r="475" spans="1:12" x14ac:dyDescent="0.3">
      <c r="A475" s="13">
        <v>43978</v>
      </c>
      <c r="B475" s="16" t="s">
        <v>23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I475" t="s">
        <v>48</v>
      </c>
      <c r="J475">
        <v>22</v>
      </c>
      <c r="K475" s="18">
        <f t="shared" si="14"/>
        <v>2.7208822274645537E-4</v>
      </c>
      <c r="L475">
        <f t="shared" si="15"/>
        <v>75011.083333333328</v>
      </c>
    </row>
    <row r="476" spans="1:12" x14ac:dyDescent="0.3">
      <c r="A476" s="13">
        <v>43978</v>
      </c>
      <c r="B476" s="16" t="s">
        <v>18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I476" t="s">
        <v>48</v>
      </c>
      <c r="J476">
        <v>22</v>
      </c>
      <c r="K476" s="18">
        <f t="shared" si="14"/>
        <v>3.2304886242173102E-4</v>
      </c>
      <c r="L476">
        <f t="shared" si="15"/>
        <v>94299.088235294112</v>
      </c>
    </row>
    <row r="477" spans="1:12" x14ac:dyDescent="0.3">
      <c r="A477" s="13">
        <v>43978</v>
      </c>
      <c r="B477" s="16" t="s">
        <v>19</v>
      </c>
      <c r="C477">
        <v>13203</v>
      </c>
      <c r="D477">
        <v>1211457</v>
      </c>
      <c r="E477">
        <v>15</v>
      </c>
      <c r="F477">
        <v>809</v>
      </c>
      <c r="G477">
        <v>702</v>
      </c>
      <c r="I477" t="s">
        <v>48</v>
      </c>
      <c r="J477">
        <v>22</v>
      </c>
      <c r="K477" s="18">
        <f t="shared" si="14"/>
        <v>2.4412924317017786E-4</v>
      </c>
      <c r="L477">
        <f t="shared" si="15"/>
        <v>80763.8</v>
      </c>
    </row>
    <row r="478" spans="1:12" x14ac:dyDescent="0.3">
      <c r="A478" s="13">
        <v>43978</v>
      </c>
      <c r="B478" s="16" t="s">
        <v>15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I478" t="s">
        <v>48</v>
      </c>
      <c r="J478">
        <v>22</v>
      </c>
      <c r="K478" s="18">
        <f t="shared" si="14"/>
        <v>7.8661902116605991E-3</v>
      </c>
      <c r="L478">
        <f t="shared" si="15"/>
        <v>314797.2701612903</v>
      </c>
    </row>
    <row r="479" spans="1:12" x14ac:dyDescent="0.3">
      <c r="A479" s="13">
        <v>43978</v>
      </c>
      <c r="B479" s="16" t="s">
        <v>14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I479" t="s">
        <v>48</v>
      </c>
      <c r="J479">
        <v>22</v>
      </c>
      <c r="K479" s="18">
        <f t="shared" si="14"/>
        <v>5.895782977460357E-3</v>
      </c>
      <c r="L479">
        <f t="shared" si="15"/>
        <v>226798.39534883722</v>
      </c>
    </row>
    <row r="480" spans="1:12" x14ac:dyDescent="0.3">
      <c r="A480" s="13">
        <v>43980</v>
      </c>
      <c r="B480" s="16" t="s">
        <v>13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I480" t="s">
        <v>49</v>
      </c>
      <c r="J480">
        <v>22</v>
      </c>
      <c r="K480" s="18">
        <f t="shared" si="14"/>
        <v>6.5655343708243105E-4</v>
      </c>
      <c r="L480">
        <f t="shared" si="15"/>
        <v>162902.70000000001</v>
      </c>
    </row>
    <row r="481" spans="1:12" x14ac:dyDescent="0.3">
      <c r="A481" s="13">
        <v>43978</v>
      </c>
      <c r="B481" s="16" t="s">
        <v>24</v>
      </c>
      <c r="C481">
        <v>8362.5</v>
      </c>
      <c r="D481">
        <v>687684</v>
      </c>
      <c r="E481">
        <v>7</v>
      </c>
      <c r="F481">
        <v>409</v>
      </c>
      <c r="G481">
        <v>329</v>
      </c>
      <c r="I481" t="s">
        <v>48</v>
      </c>
      <c r="J481">
        <v>22</v>
      </c>
      <c r="K481" s="18">
        <f t="shared" si="14"/>
        <v>1.3858005233387613E-4</v>
      </c>
      <c r="L481">
        <f t="shared" si="15"/>
        <v>98240.571428571435</v>
      </c>
    </row>
    <row r="482" spans="1:12" x14ac:dyDescent="0.3">
      <c r="A482" s="13">
        <v>43983</v>
      </c>
      <c r="B482" s="16" t="s">
        <v>14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I482" t="s">
        <v>47</v>
      </c>
      <c r="J482">
        <v>23</v>
      </c>
      <c r="K482" s="18">
        <f t="shared" si="14"/>
        <v>5.5961471721991222E-3</v>
      </c>
      <c r="L482">
        <f t="shared" si="15"/>
        <v>216953.84765625</v>
      </c>
    </row>
    <row r="483" spans="1:12" x14ac:dyDescent="0.3">
      <c r="A483" s="13">
        <v>43983</v>
      </c>
      <c r="B483" s="16" t="s">
        <v>15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I483" t="s">
        <v>47</v>
      </c>
      <c r="J483">
        <v>23</v>
      </c>
      <c r="K483" s="18">
        <f t="shared" si="14"/>
        <v>7.5080901143238414E-3</v>
      </c>
      <c r="L483">
        <f t="shared" si="15"/>
        <v>302909.26976707316</v>
      </c>
    </row>
    <row r="484" spans="1:12" x14ac:dyDescent="0.3">
      <c r="A484" s="13">
        <v>43980</v>
      </c>
      <c r="B484" s="16" t="s">
        <v>14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I484" t="s">
        <v>49</v>
      </c>
      <c r="J484">
        <v>22</v>
      </c>
      <c r="K484" s="18">
        <f t="shared" si="14"/>
        <v>8.4167909411695455E-3</v>
      </c>
      <c r="L484">
        <f t="shared" si="15"/>
        <v>323776.27988372097</v>
      </c>
    </row>
    <row r="485" spans="1:12" x14ac:dyDescent="0.3">
      <c r="A485" s="13">
        <v>43983</v>
      </c>
      <c r="B485" s="16" t="s">
        <v>16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I485" t="s">
        <v>47</v>
      </c>
      <c r="J485">
        <v>23</v>
      </c>
      <c r="K485" s="18">
        <f t="shared" si="14"/>
        <v>1.1688573410922145E-3</v>
      </c>
      <c r="L485">
        <f t="shared" si="15"/>
        <v>156764.59459459459</v>
      </c>
    </row>
    <row r="486" spans="1:12" x14ac:dyDescent="0.3">
      <c r="A486" s="13">
        <v>43980</v>
      </c>
      <c r="B486" s="16" t="s">
        <v>16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I486" t="s">
        <v>49</v>
      </c>
      <c r="J486">
        <v>22</v>
      </c>
      <c r="K486" s="18">
        <f t="shared" si="14"/>
        <v>1.4566448505271732E-3</v>
      </c>
      <c r="L486">
        <f t="shared" si="15"/>
        <v>195362.02702702704</v>
      </c>
    </row>
    <row r="487" spans="1:12" x14ac:dyDescent="0.3">
      <c r="A487" s="13">
        <v>43980</v>
      </c>
      <c r="B487" s="16" t="s">
        <v>15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I487" t="s">
        <v>49</v>
      </c>
      <c r="J487">
        <v>22</v>
      </c>
      <c r="K487" s="18">
        <f t="shared" si="14"/>
        <v>1.0916587580708953E-2</v>
      </c>
      <c r="L487">
        <f t="shared" si="15"/>
        <v>436871.20161290321</v>
      </c>
    </row>
    <row r="488" spans="1:12" x14ac:dyDescent="0.3">
      <c r="A488" s="13">
        <v>43980</v>
      </c>
      <c r="B488" s="16" t="s">
        <v>17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I488" t="s">
        <v>49</v>
      </c>
      <c r="J488">
        <v>22</v>
      </c>
      <c r="K488" s="18">
        <f t="shared" si="14"/>
        <v>8.279521534582078E-4</v>
      </c>
      <c r="L488">
        <f t="shared" si="15"/>
        <v>186754.36363636365</v>
      </c>
    </row>
    <row r="489" spans="1:12" x14ac:dyDescent="0.3">
      <c r="A489" s="13">
        <v>43980</v>
      </c>
      <c r="B489" s="16" t="s">
        <v>20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I489" t="s">
        <v>49</v>
      </c>
      <c r="J489">
        <v>22</v>
      </c>
      <c r="K489" s="18">
        <f t="shared" si="14"/>
        <v>5.7527909107917019E-4</v>
      </c>
      <c r="L489">
        <f t="shared" si="15"/>
        <v>142737.07500000001</v>
      </c>
    </row>
    <row r="490" spans="1:12" x14ac:dyDescent="0.3">
      <c r="A490" s="13">
        <v>43980</v>
      </c>
      <c r="B490" s="16" t="s">
        <v>22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I490" t="s">
        <v>49</v>
      </c>
      <c r="J490">
        <v>22</v>
      </c>
      <c r="K490" s="18">
        <f t="shared" si="14"/>
        <v>4.5172367657152065E-3</v>
      </c>
      <c r="L490">
        <f t="shared" si="15"/>
        <v>415113.91666666669</v>
      </c>
    </row>
    <row r="491" spans="1:12" x14ac:dyDescent="0.3">
      <c r="A491" s="13">
        <v>43980</v>
      </c>
      <c r="B491" s="16" t="s">
        <v>21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I491" t="s">
        <v>49</v>
      </c>
      <c r="J491">
        <v>22</v>
      </c>
      <c r="K491" s="18">
        <f t="shared" si="14"/>
        <v>4.6591636132474017E-3</v>
      </c>
      <c r="L491">
        <f t="shared" si="15"/>
        <v>391871.92372881353</v>
      </c>
    </row>
    <row r="492" spans="1:12" x14ac:dyDescent="0.3">
      <c r="A492" s="13">
        <v>43983</v>
      </c>
      <c r="B492" s="16" t="s">
        <v>17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I492" t="s">
        <v>47</v>
      </c>
      <c r="J492">
        <v>23</v>
      </c>
      <c r="K492" s="18">
        <f t="shared" si="14"/>
        <v>7.7891398645826729E-4</v>
      </c>
      <c r="L492">
        <f t="shared" si="15"/>
        <v>168054.39130434784</v>
      </c>
    </row>
    <row r="493" spans="1:12" x14ac:dyDescent="0.3">
      <c r="A493" s="13">
        <v>43980</v>
      </c>
      <c r="B493" s="16" t="s">
        <v>23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I493" t="s">
        <v>49</v>
      </c>
      <c r="J493">
        <v>22</v>
      </c>
      <c r="K493" s="18">
        <f t="shared" si="14"/>
        <v>2.8983300827049223E-4</v>
      </c>
      <c r="L493">
        <f t="shared" si="15"/>
        <v>79903.083333333328</v>
      </c>
    </row>
    <row r="494" spans="1:12" x14ac:dyDescent="0.3">
      <c r="A494" s="13">
        <v>43980</v>
      </c>
      <c r="B494" s="16" t="s">
        <v>18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I494" t="s">
        <v>49</v>
      </c>
      <c r="J494">
        <v>22</v>
      </c>
      <c r="K494" s="18">
        <f t="shared" si="14"/>
        <v>3.556108944980091E-4</v>
      </c>
      <c r="L494">
        <f t="shared" si="15"/>
        <v>103804.05882352941</v>
      </c>
    </row>
    <row r="495" spans="1:12" x14ac:dyDescent="0.3">
      <c r="A495" s="13">
        <v>43980</v>
      </c>
      <c r="B495" s="16" t="s">
        <v>19</v>
      </c>
      <c r="C495">
        <v>17052</v>
      </c>
      <c r="D495">
        <v>1549020</v>
      </c>
      <c r="E495">
        <v>16</v>
      </c>
      <c r="F495">
        <v>981</v>
      </c>
      <c r="G495">
        <v>859</v>
      </c>
      <c r="I495" t="s">
        <v>49</v>
      </c>
      <c r="J495">
        <v>22</v>
      </c>
      <c r="K495" s="18">
        <f t="shared" si="14"/>
        <v>3.1215394376809814E-4</v>
      </c>
      <c r="L495">
        <f t="shared" si="15"/>
        <v>96813.75</v>
      </c>
    </row>
    <row r="496" spans="1:12" x14ac:dyDescent="0.3">
      <c r="A496" s="13">
        <v>43980</v>
      </c>
      <c r="B496" s="16" t="s">
        <v>24</v>
      </c>
      <c r="C496">
        <v>9927</v>
      </c>
      <c r="D496">
        <v>850840.5</v>
      </c>
      <c r="E496">
        <v>7</v>
      </c>
      <c r="F496">
        <v>491</v>
      </c>
      <c r="G496">
        <v>411</v>
      </c>
      <c r="I496" t="s">
        <v>49</v>
      </c>
      <c r="J496">
        <v>22</v>
      </c>
      <c r="K496" s="18">
        <f t="shared" si="14"/>
        <v>1.7145886921577548E-4</v>
      </c>
      <c r="L496">
        <f t="shared" si="15"/>
        <v>121548.64285714286</v>
      </c>
    </row>
    <row r="497" spans="1:12" x14ac:dyDescent="0.3">
      <c r="A497" s="13">
        <v>43983</v>
      </c>
      <c r="B497" s="16" t="s">
        <v>18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I497" t="s">
        <v>47</v>
      </c>
      <c r="J497">
        <v>23</v>
      </c>
      <c r="K497" s="18">
        <f t="shared" si="14"/>
        <v>3.0763764435894997E-4</v>
      </c>
      <c r="L497">
        <f t="shared" si="15"/>
        <v>89800.5</v>
      </c>
    </row>
    <row r="498" spans="1:12" x14ac:dyDescent="0.3">
      <c r="A498" s="13">
        <v>43983</v>
      </c>
      <c r="B498" s="16" t="s">
        <v>19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I498" t="s">
        <v>47</v>
      </c>
      <c r="J498">
        <v>23</v>
      </c>
      <c r="K498" s="18">
        <f t="shared" si="14"/>
        <v>3.1550164579315115E-4</v>
      </c>
      <c r="L498">
        <f t="shared" si="15"/>
        <v>97852.03125</v>
      </c>
    </row>
    <row r="499" spans="1:12" x14ac:dyDescent="0.3">
      <c r="A499" s="13">
        <v>43983</v>
      </c>
      <c r="B499" s="16" t="s">
        <v>20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I499" t="s">
        <v>47</v>
      </c>
      <c r="J499">
        <v>23</v>
      </c>
      <c r="K499" s="18">
        <f t="shared" si="14"/>
        <v>5.1164524552557667E-4</v>
      </c>
      <c r="L499">
        <f t="shared" si="15"/>
        <v>120903.21428571429</v>
      </c>
    </row>
    <row r="500" spans="1:12" x14ac:dyDescent="0.3">
      <c r="A500" s="13">
        <v>43983</v>
      </c>
      <c r="B500" s="16" t="s">
        <v>21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I500" t="s">
        <v>47</v>
      </c>
      <c r="J500">
        <v>23</v>
      </c>
      <c r="K500" s="18">
        <f t="shared" si="14"/>
        <v>3.9226044807620843E-3</v>
      </c>
      <c r="L500">
        <f t="shared" si="15"/>
        <v>329921.56779661018</v>
      </c>
    </row>
    <row r="501" spans="1:12" x14ac:dyDescent="0.3">
      <c r="A501" s="13">
        <v>43983</v>
      </c>
      <c r="B501" s="16" t="s">
        <v>22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I501" t="s">
        <v>47</v>
      </c>
      <c r="J501">
        <v>23</v>
      </c>
      <c r="K501" s="18">
        <f t="shared" si="14"/>
        <v>3.8115327151178628E-3</v>
      </c>
      <c r="L501">
        <f t="shared" si="15"/>
        <v>350262.86111111112</v>
      </c>
    </row>
    <row r="502" spans="1:12" x14ac:dyDescent="0.3">
      <c r="A502" s="13">
        <v>43983</v>
      </c>
      <c r="B502" s="16" t="s">
        <v>25</v>
      </c>
      <c r="C502">
        <v>5166</v>
      </c>
      <c r="D502">
        <v>389013</v>
      </c>
      <c r="E502">
        <v>9</v>
      </c>
      <c r="F502">
        <v>294</v>
      </c>
      <c r="G502">
        <v>224</v>
      </c>
      <c r="I502" t="s">
        <v>47</v>
      </c>
      <c r="J502">
        <v>23</v>
      </c>
      <c r="K502" s="18">
        <f t="shared" si="14"/>
        <v>7.8392752919303284E-5</v>
      </c>
      <c r="L502">
        <f t="shared" si="15"/>
        <v>43223.666666666664</v>
      </c>
    </row>
    <row r="503" spans="1:12" x14ac:dyDescent="0.3">
      <c r="A503" s="13">
        <v>43983</v>
      </c>
      <c r="B503" s="16" t="s">
        <v>23</v>
      </c>
      <c r="C503">
        <v>14238</v>
      </c>
      <c r="D503">
        <v>1293219</v>
      </c>
      <c r="E503">
        <v>18</v>
      </c>
      <c r="F503">
        <v>923</v>
      </c>
      <c r="G503">
        <v>824</v>
      </c>
      <c r="I503" t="s">
        <v>47</v>
      </c>
      <c r="J503">
        <v>23</v>
      </c>
      <c r="K503" s="18">
        <f t="shared" si="14"/>
        <v>2.6060568036941816E-4</v>
      </c>
      <c r="L503">
        <f t="shared" si="15"/>
        <v>71845.5</v>
      </c>
    </row>
    <row r="504" spans="1:12" x14ac:dyDescent="0.3">
      <c r="A504" s="13">
        <v>43983</v>
      </c>
      <c r="B504" s="16" t="s">
        <v>26</v>
      </c>
      <c r="C504">
        <v>4408.5</v>
      </c>
      <c r="D504">
        <v>410892</v>
      </c>
      <c r="E504">
        <v>6</v>
      </c>
      <c r="F504">
        <v>237</v>
      </c>
      <c r="G504">
        <v>175</v>
      </c>
      <c r="I504" t="s">
        <v>47</v>
      </c>
      <c r="J504">
        <v>23</v>
      </c>
      <c r="K504" s="18">
        <f t="shared" si="14"/>
        <v>8.280174449830305E-5</v>
      </c>
      <c r="L504">
        <f t="shared" si="15"/>
        <v>68482</v>
      </c>
    </row>
    <row r="505" spans="1:12" x14ac:dyDescent="0.3">
      <c r="A505" s="13">
        <v>43983</v>
      </c>
      <c r="B505" s="16" t="s">
        <v>24</v>
      </c>
      <c r="C505">
        <v>9474</v>
      </c>
      <c r="D505">
        <v>802447.5</v>
      </c>
      <c r="E505">
        <v>7</v>
      </c>
      <c r="F505">
        <v>500</v>
      </c>
      <c r="G505">
        <v>418</v>
      </c>
      <c r="I505" t="s">
        <v>47</v>
      </c>
      <c r="J505">
        <v>23</v>
      </c>
      <c r="K505" s="18">
        <f t="shared" si="14"/>
        <v>1.6170685452211782E-4</v>
      </c>
      <c r="L505">
        <f t="shared" si="15"/>
        <v>114635.35714285714</v>
      </c>
    </row>
  </sheetData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94E082B-9F2C-4DED-96E6-0A28EF90B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Слияние1!D2:D2</xm:f>
              <xm:sqref>J2</xm:sqref>
            </x14:sparkline>
            <x14:sparkline>
              <xm:f>Слияние1!D3:D3</xm:f>
              <xm:sqref>J3</xm:sqref>
            </x14:sparkline>
            <x14:sparkline>
              <xm:f>Слияние1!D4:D4</xm:f>
              <xm:sqref>J4</xm:sqref>
            </x14:sparkline>
            <x14:sparkline>
              <xm:f>Слияние1!D5:D5</xm:f>
              <xm:sqref>J5</xm:sqref>
            </x14:sparkline>
            <x14:sparkline>
              <xm:f>Слияние1!D6:D6</xm:f>
              <xm:sqref>J6</xm:sqref>
            </x14:sparkline>
            <x14:sparkline>
              <xm:f>Слияние1!D7:D7</xm:f>
              <xm:sqref>J7</xm:sqref>
            </x14:sparkline>
            <x14:sparkline>
              <xm:f>Слияние1!D8:D8</xm:f>
              <xm:sqref>J8</xm:sqref>
            </x14:sparkline>
            <x14:sparkline>
              <xm:f>Слияние1!D9:D9</xm:f>
              <xm:sqref>J9</xm:sqref>
            </x14:sparkline>
            <x14:sparkline>
              <xm:f>Слияние1!D10:D10</xm:f>
              <xm:sqref>J10</xm:sqref>
            </x14:sparkline>
            <x14:sparkline>
              <xm:f>Слияние1!D11:D11</xm:f>
              <xm:sqref>J11</xm:sqref>
            </x14:sparkline>
            <x14:sparkline>
              <xm:f>Слияние1!D12:D12</xm:f>
              <xm:sqref>J12</xm:sqref>
            </x14:sparkline>
            <x14:sparkline>
              <xm:f>Слияние1!D13:D13</xm:f>
              <xm:sqref>J13</xm:sqref>
            </x14:sparkline>
            <x14:sparkline>
              <xm:f>Слияние1!D14:D14</xm:f>
              <xm:sqref>J14</xm:sqref>
            </x14:sparkline>
            <x14:sparkline>
              <xm:f>Слияние1!D15:D15</xm:f>
              <xm:sqref>J15</xm:sqref>
            </x14:sparkline>
            <x14:sparkline>
              <xm:f>Слияние1!D16:D16</xm:f>
              <xm:sqref>J16</xm:sqref>
            </x14:sparkline>
            <x14:sparkline>
              <xm:f>Слияние1!D17:D17</xm:f>
              <xm:sqref>J17</xm:sqref>
            </x14:sparkline>
            <x14:sparkline>
              <xm:f>Слияние1!D18:D18</xm:f>
              <xm:sqref>J18</xm:sqref>
            </x14:sparkline>
            <x14:sparkline>
              <xm:f>Слияние1!D19:D19</xm:f>
              <xm:sqref>J19</xm:sqref>
            </x14:sparkline>
            <x14:sparkline>
              <xm:f>Слияние1!D20:D20</xm:f>
              <xm:sqref>J20</xm:sqref>
            </x14:sparkline>
            <x14:sparkline>
              <xm:f>Слияние1!D21:D21</xm:f>
              <xm:sqref>J21</xm:sqref>
            </x14:sparkline>
            <x14:sparkline>
              <xm:f>Слияние1!D22:D22</xm:f>
              <xm:sqref>J22</xm:sqref>
            </x14:sparkline>
            <x14:sparkline>
              <xm:f>Слияние1!D23:D23</xm:f>
              <xm:sqref>J23</xm:sqref>
            </x14:sparkline>
            <x14:sparkline>
              <xm:f>Слияние1!D24:D24</xm:f>
              <xm:sqref>J24</xm:sqref>
            </x14:sparkline>
            <x14:sparkline>
              <xm:f>Слияние1!D25:D25</xm:f>
              <xm:sqref>J25</xm:sqref>
            </x14:sparkline>
            <x14:sparkline>
              <xm:f>Слияние1!D26:D26</xm:f>
              <xm:sqref>J26</xm:sqref>
            </x14:sparkline>
            <x14:sparkline>
              <xm:f>Слияние1!D27:D27</xm:f>
              <xm:sqref>J27</xm:sqref>
            </x14:sparkline>
            <x14:sparkline>
              <xm:f>Слияние1!D28:D28</xm:f>
              <xm:sqref>J28</xm:sqref>
            </x14:sparkline>
            <x14:sparkline>
              <xm:f>Слияние1!D29:D29</xm:f>
              <xm:sqref>J29</xm:sqref>
            </x14:sparkline>
            <x14:sparkline>
              <xm:f>Слияние1!D30:D30</xm:f>
              <xm:sqref>J30</xm:sqref>
            </x14:sparkline>
            <x14:sparkline>
              <xm:f>Слияние1!D31:D31</xm:f>
              <xm:sqref>J31</xm:sqref>
            </x14:sparkline>
            <x14:sparkline>
              <xm:f>Слияние1!D32:D32</xm:f>
              <xm:sqref>J32</xm:sqref>
            </x14:sparkline>
            <x14:sparkline>
              <xm:f>Слияние1!D33:D33</xm:f>
              <xm:sqref>J33</xm:sqref>
            </x14:sparkline>
            <x14:sparkline>
              <xm:f>Слияние1!D34:D34</xm:f>
              <xm:sqref>J34</xm:sqref>
            </x14:sparkline>
            <x14:sparkline>
              <xm:f>Слияние1!D35:D35</xm:f>
              <xm:sqref>J35</xm:sqref>
            </x14:sparkline>
            <x14:sparkline>
              <xm:f>Слияние1!D36:D36</xm:f>
              <xm:sqref>J36</xm:sqref>
            </x14:sparkline>
            <x14:sparkline>
              <xm:f>Слияние1!D37:D37</xm:f>
              <xm:sqref>J37</xm:sqref>
            </x14:sparkline>
            <x14:sparkline>
              <xm:f>Слияние1!D38:D38</xm:f>
              <xm:sqref>J38</xm:sqref>
            </x14:sparkline>
            <x14:sparkline>
              <xm:f>Слияние1!D39:D39</xm:f>
              <xm:sqref>J39</xm:sqref>
            </x14:sparkline>
            <x14:sparkline>
              <xm:f>Слияние1!D40:D40</xm:f>
              <xm:sqref>J40</xm:sqref>
            </x14:sparkline>
            <x14:sparkline>
              <xm:f>Слияние1!D41:D41</xm:f>
              <xm:sqref>J41</xm:sqref>
            </x14:sparkline>
            <x14:sparkline>
              <xm:f>Слияние1!D42:D42</xm:f>
              <xm:sqref>J42</xm:sqref>
            </x14:sparkline>
            <x14:sparkline>
              <xm:f>Слияние1!D43:D43</xm:f>
              <xm:sqref>J43</xm:sqref>
            </x14:sparkline>
            <x14:sparkline>
              <xm:f>Слияние1!D44:D44</xm:f>
              <xm:sqref>J44</xm:sqref>
            </x14:sparkline>
            <x14:sparkline>
              <xm:f>Слияние1!D45:D45</xm:f>
              <xm:sqref>J45</xm:sqref>
            </x14:sparkline>
            <x14:sparkline>
              <xm:f>Слияние1!D46:D46</xm:f>
              <xm:sqref>J46</xm:sqref>
            </x14:sparkline>
            <x14:sparkline>
              <xm:f>Слияние1!D47:D47</xm:f>
              <xm:sqref>J47</xm:sqref>
            </x14:sparkline>
            <x14:sparkline>
              <xm:f>Слияние1!D48:D48</xm:f>
              <xm:sqref>J48</xm:sqref>
            </x14:sparkline>
            <x14:sparkline>
              <xm:f>Слияние1!D49:D49</xm:f>
              <xm:sqref>J49</xm:sqref>
            </x14:sparkline>
            <x14:sparkline>
              <xm:f>Слияние1!D50:D50</xm:f>
              <xm:sqref>J50</xm:sqref>
            </x14:sparkline>
            <x14:sparkline>
              <xm:f>Слияние1!D51:D51</xm:f>
              <xm:sqref>J51</xm:sqref>
            </x14:sparkline>
            <x14:sparkline>
              <xm:f>Слияние1!D52:D52</xm:f>
              <xm:sqref>J52</xm:sqref>
            </x14:sparkline>
            <x14:sparkline>
              <xm:f>Слияние1!D53:D53</xm:f>
              <xm:sqref>J53</xm:sqref>
            </x14:sparkline>
            <x14:sparkline>
              <xm:f>Слияние1!D54:D54</xm:f>
              <xm:sqref>J54</xm:sqref>
            </x14:sparkline>
            <x14:sparkline>
              <xm:f>Слияние1!D55:D55</xm:f>
              <xm:sqref>J55</xm:sqref>
            </x14:sparkline>
            <x14:sparkline>
              <xm:f>Слияние1!D56:D56</xm:f>
              <xm:sqref>J56</xm:sqref>
            </x14:sparkline>
            <x14:sparkline>
              <xm:f>Слияние1!D57:D57</xm:f>
              <xm:sqref>J57</xm:sqref>
            </x14:sparkline>
            <x14:sparkline>
              <xm:f>Слияние1!D58:D58</xm:f>
              <xm:sqref>J58</xm:sqref>
            </x14:sparkline>
            <x14:sparkline>
              <xm:f>Слияние1!D59:D59</xm:f>
              <xm:sqref>J59</xm:sqref>
            </x14:sparkline>
            <x14:sparkline>
              <xm:f>Слияние1!D60:D60</xm:f>
              <xm:sqref>J60</xm:sqref>
            </x14:sparkline>
            <x14:sparkline>
              <xm:f>Слияние1!D61:D61</xm:f>
              <xm:sqref>J61</xm:sqref>
            </x14:sparkline>
            <x14:sparkline>
              <xm:f>Слияние1!D62:D62</xm:f>
              <xm:sqref>J62</xm:sqref>
            </x14:sparkline>
            <x14:sparkline>
              <xm:f>Слияние1!D63:D63</xm:f>
              <xm:sqref>J63</xm:sqref>
            </x14:sparkline>
            <x14:sparkline>
              <xm:f>Слияние1!D64:D64</xm:f>
              <xm:sqref>J64</xm:sqref>
            </x14:sparkline>
            <x14:sparkline>
              <xm:f>Слияние1!D65:D65</xm:f>
              <xm:sqref>J65</xm:sqref>
            </x14:sparkline>
            <x14:sparkline>
              <xm:f>Слияние1!D66:D66</xm:f>
              <xm:sqref>J66</xm:sqref>
            </x14:sparkline>
            <x14:sparkline>
              <xm:f>Слияние1!D67:D67</xm:f>
              <xm:sqref>J67</xm:sqref>
            </x14:sparkline>
            <x14:sparkline>
              <xm:f>Слияние1!D68:D68</xm:f>
              <xm:sqref>J68</xm:sqref>
            </x14:sparkline>
            <x14:sparkline>
              <xm:f>Слияние1!D69:D69</xm:f>
              <xm:sqref>J69</xm:sqref>
            </x14:sparkline>
            <x14:sparkline>
              <xm:f>Слияние1!D70:D70</xm:f>
              <xm:sqref>J70</xm:sqref>
            </x14:sparkline>
            <x14:sparkline>
              <xm:f>Слияние1!D71:D71</xm:f>
              <xm:sqref>J71</xm:sqref>
            </x14:sparkline>
            <x14:sparkline>
              <xm:f>Слияние1!D72:D72</xm:f>
              <xm:sqref>J72</xm:sqref>
            </x14:sparkline>
            <x14:sparkline>
              <xm:f>Слияние1!D73:D73</xm:f>
              <xm:sqref>J73</xm:sqref>
            </x14:sparkline>
            <x14:sparkline>
              <xm:f>Слияние1!D74:D74</xm:f>
              <xm:sqref>J74</xm:sqref>
            </x14:sparkline>
            <x14:sparkline>
              <xm:f>Слияние1!D75:D75</xm:f>
              <xm:sqref>J75</xm:sqref>
            </x14:sparkline>
            <x14:sparkline>
              <xm:f>Слияние1!D76:D76</xm:f>
              <xm:sqref>J76</xm:sqref>
            </x14:sparkline>
            <x14:sparkline>
              <xm:f>Слияние1!D77:D77</xm:f>
              <xm:sqref>J77</xm:sqref>
            </x14:sparkline>
            <x14:sparkline>
              <xm:f>Слияние1!D78:D78</xm:f>
              <xm:sqref>J78</xm:sqref>
            </x14:sparkline>
            <x14:sparkline>
              <xm:f>Слияние1!D79:D79</xm:f>
              <xm:sqref>J79</xm:sqref>
            </x14:sparkline>
            <x14:sparkline>
              <xm:f>Слияние1!D80:D80</xm:f>
              <xm:sqref>J80</xm:sqref>
            </x14:sparkline>
            <x14:sparkline>
              <xm:f>Слияние1!D81:D81</xm:f>
              <xm:sqref>J81</xm:sqref>
            </x14:sparkline>
            <x14:sparkline>
              <xm:f>Слияние1!D82:D82</xm:f>
              <xm:sqref>J82</xm:sqref>
            </x14:sparkline>
            <x14:sparkline>
              <xm:f>Слияние1!D83:D83</xm:f>
              <xm:sqref>J83</xm:sqref>
            </x14:sparkline>
            <x14:sparkline>
              <xm:f>Слияние1!D84:D84</xm:f>
              <xm:sqref>J84</xm:sqref>
            </x14:sparkline>
            <x14:sparkline>
              <xm:f>Слияние1!D85:D85</xm:f>
              <xm:sqref>J85</xm:sqref>
            </x14:sparkline>
            <x14:sparkline>
              <xm:f>Слияние1!D86:D86</xm:f>
              <xm:sqref>J86</xm:sqref>
            </x14:sparkline>
            <x14:sparkline>
              <xm:f>Слияние1!D87:D87</xm:f>
              <xm:sqref>J87</xm:sqref>
            </x14:sparkline>
            <x14:sparkline>
              <xm:f>Слияние1!D88:D88</xm:f>
              <xm:sqref>J88</xm:sqref>
            </x14:sparkline>
            <x14:sparkline>
              <xm:f>Слияние1!D89:D89</xm:f>
              <xm:sqref>J89</xm:sqref>
            </x14:sparkline>
            <x14:sparkline>
              <xm:f>Слияние1!D90:D90</xm:f>
              <xm:sqref>J90</xm:sqref>
            </x14:sparkline>
            <x14:sparkline>
              <xm:f>Слияние1!D91:D91</xm:f>
              <xm:sqref>J91</xm:sqref>
            </x14:sparkline>
            <x14:sparkline>
              <xm:f>Слияние1!D92:D92</xm:f>
              <xm:sqref>J92</xm:sqref>
            </x14:sparkline>
            <x14:sparkline>
              <xm:f>Слияние1!D93:D93</xm:f>
              <xm:sqref>J93</xm:sqref>
            </x14:sparkline>
            <x14:sparkline>
              <xm:f>Слияние1!D94:D94</xm:f>
              <xm:sqref>J94</xm:sqref>
            </x14:sparkline>
            <x14:sparkline>
              <xm:f>Слияние1!D95:D95</xm:f>
              <xm:sqref>J95</xm:sqref>
            </x14:sparkline>
            <x14:sparkline>
              <xm:f>Слияние1!D96:D96</xm:f>
              <xm:sqref>J96</xm:sqref>
            </x14:sparkline>
            <x14:sparkline>
              <xm:f>Слияние1!D97:D97</xm:f>
              <xm:sqref>J97</xm:sqref>
            </x14:sparkline>
            <x14:sparkline>
              <xm:f>Слияние1!D98:D98</xm:f>
              <xm:sqref>J98</xm:sqref>
            </x14:sparkline>
            <x14:sparkline>
              <xm:f>Слияние1!D99:D99</xm:f>
              <xm:sqref>J99</xm:sqref>
            </x14:sparkline>
            <x14:sparkline>
              <xm:f>Слияние1!D100:D100</xm:f>
              <xm:sqref>J100</xm:sqref>
            </x14:sparkline>
            <x14:sparkline>
              <xm:f>Слияние1!D101:D101</xm:f>
              <xm:sqref>J101</xm:sqref>
            </x14:sparkline>
            <x14:sparkline>
              <xm:f>Слияние1!D102:D102</xm:f>
              <xm:sqref>J102</xm:sqref>
            </x14:sparkline>
            <x14:sparkline>
              <xm:f>Слияние1!D103:D103</xm:f>
              <xm:sqref>J103</xm:sqref>
            </x14:sparkline>
            <x14:sparkline>
              <xm:f>Слияние1!D104:D104</xm:f>
              <xm:sqref>J104</xm:sqref>
            </x14:sparkline>
            <x14:sparkline>
              <xm:f>Слияние1!D105:D105</xm:f>
              <xm:sqref>J105</xm:sqref>
            </x14:sparkline>
            <x14:sparkline>
              <xm:f>Слияние1!D106:D106</xm:f>
              <xm:sqref>J106</xm:sqref>
            </x14:sparkline>
            <x14:sparkline>
              <xm:f>Слияние1!D107:D107</xm:f>
              <xm:sqref>J107</xm:sqref>
            </x14:sparkline>
            <x14:sparkline>
              <xm:f>Слияние1!D108:D108</xm:f>
              <xm:sqref>J108</xm:sqref>
            </x14:sparkline>
            <x14:sparkline>
              <xm:f>Слияние1!D109:D109</xm:f>
              <xm:sqref>J109</xm:sqref>
            </x14:sparkline>
            <x14:sparkline>
              <xm:f>Слияние1!D110:D110</xm:f>
              <xm:sqref>J110</xm:sqref>
            </x14:sparkline>
            <x14:sparkline>
              <xm:f>Слияние1!D111:D111</xm:f>
              <xm:sqref>J111</xm:sqref>
            </x14:sparkline>
            <x14:sparkline>
              <xm:f>Слияние1!D112:D112</xm:f>
              <xm:sqref>J112</xm:sqref>
            </x14:sparkline>
            <x14:sparkline>
              <xm:f>Слияние1!D113:D113</xm:f>
              <xm:sqref>J113</xm:sqref>
            </x14:sparkline>
            <x14:sparkline>
              <xm:f>Слияние1!D114:D114</xm:f>
              <xm:sqref>J114</xm:sqref>
            </x14:sparkline>
            <x14:sparkline>
              <xm:f>Слияние1!D115:D115</xm:f>
              <xm:sqref>J115</xm:sqref>
            </x14:sparkline>
            <x14:sparkline>
              <xm:f>Слияние1!D116:D116</xm:f>
              <xm:sqref>J116</xm:sqref>
            </x14:sparkline>
            <x14:sparkline>
              <xm:f>Слияние1!D117:D117</xm:f>
              <xm:sqref>J117</xm:sqref>
            </x14:sparkline>
            <x14:sparkline>
              <xm:f>Слияние1!D118:D118</xm:f>
              <xm:sqref>J118</xm:sqref>
            </x14:sparkline>
            <x14:sparkline>
              <xm:f>Слияние1!D119:D119</xm:f>
              <xm:sqref>J119</xm:sqref>
            </x14:sparkline>
            <x14:sparkline>
              <xm:f>Слияние1!D120:D120</xm:f>
              <xm:sqref>J120</xm:sqref>
            </x14:sparkline>
            <x14:sparkline>
              <xm:f>Слияние1!D121:D121</xm:f>
              <xm:sqref>J121</xm:sqref>
            </x14:sparkline>
            <x14:sparkline>
              <xm:f>Слияние1!D122:D122</xm:f>
              <xm:sqref>J122</xm:sqref>
            </x14:sparkline>
            <x14:sparkline>
              <xm:f>Слияние1!D123:D123</xm:f>
              <xm:sqref>J123</xm:sqref>
            </x14:sparkline>
            <x14:sparkline>
              <xm:f>Слияние1!D124:D124</xm:f>
              <xm:sqref>J124</xm:sqref>
            </x14:sparkline>
            <x14:sparkline>
              <xm:f>Слияние1!D125:D125</xm:f>
              <xm:sqref>J125</xm:sqref>
            </x14:sparkline>
            <x14:sparkline>
              <xm:f>Слияние1!D126:D126</xm:f>
              <xm:sqref>J126</xm:sqref>
            </x14:sparkline>
            <x14:sparkline>
              <xm:f>Слияние1!D127:D127</xm:f>
              <xm:sqref>J127</xm:sqref>
            </x14:sparkline>
            <x14:sparkline>
              <xm:f>Слияние1!D128:D128</xm:f>
              <xm:sqref>J128</xm:sqref>
            </x14:sparkline>
            <x14:sparkline>
              <xm:f>Слияние1!D129:D129</xm:f>
              <xm:sqref>J129</xm:sqref>
            </x14:sparkline>
            <x14:sparkline>
              <xm:f>Слияние1!D130:D130</xm:f>
              <xm:sqref>J130</xm:sqref>
            </x14:sparkline>
            <x14:sparkline>
              <xm:f>Слияние1!D131:D131</xm:f>
              <xm:sqref>J131</xm:sqref>
            </x14:sparkline>
            <x14:sparkline>
              <xm:f>Слияние1!D132:D132</xm:f>
              <xm:sqref>J132</xm:sqref>
            </x14:sparkline>
            <x14:sparkline>
              <xm:f>Слияние1!D133:D133</xm:f>
              <xm:sqref>J133</xm:sqref>
            </x14:sparkline>
            <x14:sparkline>
              <xm:f>Слияние1!D134:D134</xm:f>
              <xm:sqref>J134</xm:sqref>
            </x14:sparkline>
            <x14:sparkline>
              <xm:f>Слияние1!D135:D135</xm:f>
              <xm:sqref>J135</xm:sqref>
            </x14:sparkline>
            <x14:sparkline>
              <xm:f>Слияние1!D136:D136</xm:f>
              <xm:sqref>J136</xm:sqref>
            </x14:sparkline>
            <x14:sparkline>
              <xm:f>Слияние1!D137:D137</xm:f>
              <xm:sqref>J137</xm:sqref>
            </x14:sparkline>
            <x14:sparkline>
              <xm:f>Слияние1!D138:D138</xm:f>
              <xm:sqref>J138</xm:sqref>
            </x14:sparkline>
            <x14:sparkline>
              <xm:f>Слияние1!D139:D139</xm:f>
              <xm:sqref>J139</xm:sqref>
            </x14:sparkline>
            <x14:sparkline>
              <xm:f>Слияние1!D140:D140</xm:f>
              <xm:sqref>J140</xm:sqref>
            </x14:sparkline>
            <x14:sparkline>
              <xm:f>Слияние1!D141:D141</xm:f>
              <xm:sqref>J141</xm:sqref>
            </x14:sparkline>
            <x14:sparkline>
              <xm:f>Слияние1!D142:D142</xm:f>
              <xm:sqref>J142</xm:sqref>
            </x14:sparkline>
            <x14:sparkline>
              <xm:f>Слияние1!D143:D143</xm:f>
              <xm:sqref>J143</xm:sqref>
            </x14:sparkline>
            <x14:sparkline>
              <xm:f>Слияние1!D144:D144</xm:f>
              <xm:sqref>J144</xm:sqref>
            </x14:sparkline>
            <x14:sparkline>
              <xm:f>Слияние1!D145:D145</xm:f>
              <xm:sqref>J145</xm:sqref>
            </x14:sparkline>
            <x14:sparkline>
              <xm:f>Слияние1!D146:D146</xm:f>
              <xm:sqref>J146</xm:sqref>
            </x14:sparkline>
            <x14:sparkline>
              <xm:f>Слияние1!D147:D147</xm:f>
              <xm:sqref>J147</xm:sqref>
            </x14:sparkline>
            <x14:sparkline>
              <xm:f>Слияние1!D148:D148</xm:f>
              <xm:sqref>J148</xm:sqref>
            </x14:sparkline>
            <x14:sparkline>
              <xm:f>Слияние1!D149:D149</xm:f>
              <xm:sqref>J149</xm:sqref>
            </x14:sparkline>
            <x14:sparkline>
              <xm:f>Слияние1!D150:D150</xm:f>
              <xm:sqref>J150</xm:sqref>
            </x14:sparkline>
            <x14:sparkline>
              <xm:f>Слияние1!D151:D151</xm:f>
              <xm:sqref>J151</xm:sqref>
            </x14:sparkline>
            <x14:sparkline>
              <xm:f>Слияние1!D152:D152</xm:f>
              <xm:sqref>J152</xm:sqref>
            </x14:sparkline>
            <x14:sparkline>
              <xm:f>Слияние1!D153:D153</xm:f>
              <xm:sqref>J153</xm:sqref>
            </x14:sparkline>
            <x14:sparkline>
              <xm:f>Слияние1!D154:D154</xm:f>
              <xm:sqref>J154</xm:sqref>
            </x14:sparkline>
            <x14:sparkline>
              <xm:f>Слияние1!D155:D155</xm:f>
              <xm:sqref>J155</xm:sqref>
            </x14:sparkline>
            <x14:sparkline>
              <xm:f>Слияние1!D156:D156</xm:f>
              <xm:sqref>J156</xm:sqref>
            </x14:sparkline>
            <x14:sparkline>
              <xm:f>Слияние1!D157:D157</xm:f>
              <xm:sqref>J157</xm:sqref>
            </x14:sparkline>
            <x14:sparkline>
              <xm:f>Слияние1!D158:D158</xm:f>
              <xm:sqref>J158</xm:sqref>
            </x14:sparkline>
            <x14:sparkline>
              <xm:f>Слияние1!D159:D159</xm:f>
              <xm:sqref>J159</xm:sqref>
            </x14:sparkline>
            <x14:sparkline>
              <xm:f>Слияние1!D160:D160</xm:f>
              <xm:sqref>J160</xm:sqref>
            </x14:sparkline>
            <x14:sparkline>
              <xm:f>Слияние1!D161:D161</xm:f>
              <xm:sqref>J161</xm:sqref>
            </x14:sparkline>
            <x14:sparkline>
              <xm:f>Слияние1!D162:D162</xm:f>
              <xm:sqref>J162</xm:sqref>
            </x14:sparkline>
            <x14:sparkline>
              <xm:f>Слияние1!D163:D163</xm:f>
              <xm:sqref>J163</xm:sqref>
            </x14:sparkline>
            <x14:sparkline>
              <xm:f>Слияние1!D164:D164</xm:f>
              <xm:sqref>J164</xm:sqref>
            </x14:sparkline>
            <x14:sparkline>
              <xm:f>Слияние1!D165:D165</xm:f>
              <xm:sqref>J165</xm:sqref>
            </x14:sparkline>
            <x14:sparkline>
              <xm:f>Слияние1!D166:D166</xm:f>
              <xm:sqref>J166</xm:sqref>
            </x14:sparkline>
            <x14:sparkline>
              <xm:f>Слияние1!D167:D167</xm:f>
              <xm:sqref>J167</xm:sqref>
            </x14:sparkline>
            <x14:sparkline>
              <xm:f>Слияние1!D168:D168</xm:f>
              <xm:sqref>J168</xm:sqref>
            </x14:sparkline>
            <x14:sparkline>
              <xm:f>Слияние1!D169:D169</xm:f>
              <xm:sqref>J169</xm:sqref>
            </x14:sparkline>
            <x14:sparkline>
              <xm:f>Слияние1!D170:D170</xm:f>
              <xm:sqref>J170</xm:sqref>
            </x14:sparkline>
            <x14:sparkline>
              <xm:f>Слияние1!D171:D171</xm:f>
              <xm:sqref>J171</xm:sqref>
            </x14:sparkline>
            <x14:sparkline>
              <xm:f>Слияние1!D172:D172</xm:f>
              <xm:sqref>J172</xm:sqref>
            </x14:sparkline>
            <x14:sparkline>
              <xm:f>Слияние1!D173:D173</xm:f>
              <xm:sqref>J173</xm:sqref>
            </x14:sparkline>
            <x14:sparkline>
              <xm:f>Слияние1!D174:D174</xm:f>
              <xm:sqref>J174</xm:sqref>
            </x14:sparkline>
            <x14:sparkline>
              <xm:f>Слияние1!D175:D175</xm:f>
              <xm:sqref>J175</xm:sqref>
            </x14:sparkline>
            <x14:sparkline>
              <xm:f>Слияние1!D176:D176</xm:f>
              <xm:sqref>J176</xm:sqref>
            </x14:sparkline>
            <x14:sparkline>
              <xm:f>Слияние1!D177:D177</xm:f>
              <xm:sqref>J177</xm:sqref>
            </x14:sparkline>
            <x14:sparkline>
              <xm:f>Слияние1!D178:D178</xm:f>
              <xm:sqref>J178</xm:sqref>
            </x14:sparkline>
            <x14:sparkline>
              <xm:f>Слияние1!D179:D179</xm:f>
              <xm:sqref>J179</xm:sqref>
            </x14:sparkline>
            <x14:sparkline>
              <xm:f>Слияние1!D180:D180</xm:f>
              <xm:sqref>J180</xm:sqref>
            </x14:sparkline>
            <x14:sparkline>
              <xm:f>Слияние1!D181:D181</xm:f>
              <xm:sqref>J181</xm:sqref>
            </x14:sparkline>
            <x14:sparkline>
              <xm:f>Слияние1!D182:D182</xm:f>
              <xm:sqref>J182</xm:sqref>
            </x14:sparkline>
            <x14:sparkline>
              <xm:f>Слияние1!D183:D183</xm:f>
              <xm:sqref>J183</xm:sqref>
            </x14:sparkline>
            <x14:sparkline>
              <xm:f>Слияние1!D184:D184</xm:f>
              <xm:sqref>J184</xm:sqref>
            </x14:sparkline>
            <x14:sparkline>
              <xm:f>Слияние1!D185:D185</xm:f>
              <xm:sqref>J185</xm:sqref>
            </x14:sparkline>
            <x14:sparkline>
              <xm:f>Слияние1!D186:D186</xm:f>
              <xm:sqref>J186</xm:sqref>
            </x14:sparkline>
            <x14:sparkline>
              <xm:f>Слияние1!D187:D187</xm:f>
              <xm:sqref>J187</xm:sqref>
            </x14:sparkline>
            <x14:sparkline>
              <xm:f>Слияние1!D188:D188</xm:f>
              <xm:sqref>J188</xm:sqref>
            </x14:sparkline>
            <x14:sparkline>
              <xm:f>Слияние1!D189:D189</xm:f>
              <xm:sqref>J189</xm:sqref>
            </x14:sparkline>
            <x14:sparkline>
              <xm:f>Слияние1!D190:D190</xm:f>
              <xm:sqref>J190</xm:sqref>
            </x14:sparkline>
            <x14:sparkline>
              <xm:f>Слияние1!D191:D191</xm:f>
              <xm:sqref>J191</xm:sqref>
            </x14:sparkline>
            <x14:sparkline>
              <xm:f>Слияние1!D192:D192</xm:f>
              <xm:sqref>J192</xm:sqref>
            </x14:sparkline>
            <x14:sparkline>
              <xm:f>Слияние1!D193:D193</xm:f>
              <xm:sqref>J193</xm:sqref>
            </x14:sparkline>
            <x14:sparkline>
              <xm:f>Слияние1!D194:D194</xm:f>
              <xm:sqref>J194</xm:sqref>
            </x14:sparkline>
            <x14:sparkline>
              <xm:f>Слияние1!D195:D195</xm:f>
              <xm:sqref>J195</xm:sqref>
            </x14:sparkline>
            <x14:sparkline>
              <xm:f>Слияние1!D196:D196</xm:f>
              <xm:sqref>J196</xm:sqref>
            </x14:sparkline>
            <x14:sparkline>
              <xm:f>Слияние1!D197:D197</xm:f>
              <xm:sqref>J197</xm:sqref>
            </x14:sparkline>
            <x14:sparkline>
              <xm:f>Слияние1!D198:D198</xm:f>
              <xm:sqref>J198</xm:sqref>
            </x14:sparkline>
            <x14:sparkline>
              <xm:f>Слияние1!D199:D199</xm:f>
              <xm:sqref>J199</xm:sqref>
            </x14:sparkline>
            <x14:sparkline>
              <xm:f>Слияние1!D200:D200</xm:f>
              <xm:sqref>J200</xm:sqref>
            </x14:sparkline>
            <x14:sparkline>
              <xm:f>Слияние1!D201:D201</xm:f>
              <xm:sqref>J201</xm:sqref>
            </x14:sparkline>
            <x14:sparkline>
              <xm:f>Слияние1!D202:D202</xm:f>
              <xm:sqref>J202</xm:sqref>
            </x14:sparkline>
            <x14:sparkline>
              <xm:f>Слияние1!D203:D203</xm:f>
              <xm:sqref>J203</xm:sqref>
            </x14:sparkline>
            <x14:sparkline>
              <xm:f>Слияние1!D204:D204</xm:f>
              <xm:sqref>J204</xm:sqref>
            </x14:sparkline>
            <x14:sparkline>
              <xm:f>Слияние1!D205:D205</xm:f>
              <xm:sqref>J205</xm:sqref>
            </x14:sparkline>
            <x14:sparkline>
              <xm:f>Слияние1!D206:D206</xm:f>
              <xm:sqref>J206</xm:sqref>
            </x14:sparkline>
            <x14:sparkline>
              <xm:f>Слияние1!D207:D207</xm:f>
              <xm:sqref>J207</xm:sqref>
            </x14:sparkline>
            <x14:sparkline>
              <xm:f>Слияние1!D208:D208</xm:f>
              <xm:sqref>J208</xm:sqref>
            </x14:sparkline>
            <x14:sparkline>
              <xm:f>Слияние1!D209:D209</xm:f>
              <xm:sqref>J209</xm:sqref>
            </x14:sparkline>
            <x14:sparkline>
              <xm:f>Слияние1!D210:D210</xm:f>
              <xm:sqref>J210</xm:sqref>
            </x14:sparkline>
            <x14:sparkline>
              <xm:f>Слияние1!D211:D211</xm:f>
              <xm:sqref>J211</xm:sqref>
            </x14:sparkline>
            <x14:sparkline>
              <xm:f>Слияние1!D212:D212</xm:f>
              <xm:sqref>J212</xm:sqref>
            </x14:sparkline>
            <x14:sparkline>
              <xm:f>Слияние1!D213:D213</xm:f>
              <xm:sqref>J213</xm:sqref>
            </x14:sparkline>
            <x14:sparkline>
              <xm:f>Слияние1!D214:D214</xm:f>
              <xm:sqref>J214</xm:sqref>
            </x14:sparkline>
            <x14:sparkline>
              <xm:f>Слияние1!D215:D215</xm:f>
              <xm:sqref>J215</xm:sqref>
            </x14:sparkline>
            <x14:sparkline>
              <xm:f>Слияние1!D216:D216</xm:f>
              <xm:sqref>J216</xm:sqref>
            </x14:sparkline>
            <x14:sparkline>
              <xm:f>Слияние1!D217:D217</xm:f>
              <xm:sqref>J217</xm:sqref>
            </x14:sparkline>
            <x14:sparkline>
              <xm:f>Слияние1!D218:D218</xm:f>
              <xm:sqref>J218</xm:sqref>
            </x14:sparkline>
            <x14:sparkline>
              <xm:f>Слияние1!D219:D219</xm:f>
              <xm:sqref>J219</xm:sqref>
            </x14:sparkline>
            <x14:sparkline>
              <xm:f>Слияние1!D220:D220</xm:f>
              <xm:sqref>J220</xm:sqref>
            </x14:sparkline>
            <x14:sparkline>
              <xm:f>Слияние1!D221:D221</xm:f>
              <xm:sqref>J221</xm:sqref>
            </x14:sparkline>
            <x14:sparkline>
              <xm:f>Слияние1!D222:D222</xm:f>
              <xm:sqref>J222</xm:sqref>
            </x14:sparkline>
            <x14:sparkline>
              <xm:f>Слияние1!D223:D223</xm:f>
              <xm:sqref>J223</xm:sqref>
            </x14:sparkline>
            <x14:sparkline>
              <xm:f>Слияние1!D224:D224</xm:f>
              <xm:sqref>J224</xm:sqref>
            </x14:sparkline>
            <x14:sparkline>
              <xm:f>Слияние1!D225:D225</xm:f>
              <xm:sqref>J225</xm:sqref>
            </x14:sparkline>
            <x14:sparkline>
              <xm:f>Слияние1!D226:D226</xm:f>
              <xm:sqref>J226</xm:sqref>
            </x14:sparkline>
            <x14:sparkline>
              <xm:f>Слияние1!D227:D227</xm:f>
              <xm:sqref>J227</xm:sqref>
            </x14:sparkline>
            <x14:sparkline>
              <xm:f>Слияние1!D228:D228</xm:f>
              <xm:sqref>J228</xm:sqref>
            </x14:sparkline>
            <x14:sparkline>
              <xm:f>Слияние1!D229:D229</xm:f>
              <xm:sqref>J229</xm:sqref>
            </x14:sparkline>
            <x14:sparkline>
              <xm:f>Слияние1!D230:D230</xm:f>
              <xm:sqref>J230</xm:sqref>
            </x14:sparkline>
            <x14:sparkline>
              <xm:f>Слияние1!D231:D231</xm:f>
              <xm:sqref>J231</xm:sqref>
            </x14:sparkline>
            <x14:sparkline>
              <xm:f>Слияние1!D232:D232</xm:f>
              <xm:sqref>J232</xm:sqref>
            </x14:sparkline>
            <x14:sparkline>
              <xm:f>Слияние1!D233:D233</xm:f>
              <xm:sqref>J233</xm:sqref>
            </x14:sparkline>
            <x14:sparkline>
              <xm:f>Слияние1!D234:D234</xm:f>
              <xm:sqref>J234</xm:sqref>
            </x14:sparkline>
            <x14:sparkline>
              <xm:f>Слияние1!D235:D235</xm:f>
              <xm:sqref>J235</xm:sqref>
            </x14:sparkline>
            <x14:sparkline>
              <xm:f>Слияние1!D236:D236</xm:f>
              <xm:sqref>J236</xm:sqref>
            </x14:sparkline>
            <x14:sparkline>
              <xm:f>Слияние1!D237:D237</xm:f>
              <xm:sqref>J237</xm:sqref>
            </x14:sparkline>
            <x14:sparkline>
              <xm:f>Слияние1!D238:D238</xm:f>
              <xm:sqref>J238</xm:sqref>
            </x14:sparkline>
            <x14:sparkline>
              <xm:f>Слияние1!D239:D239</xm:f>
              <xm:sqref>J239</xm:sqref>
            </x14:sparkline>
            <x14:sparkline>
              <xm:f>Слияние1!D240:D240</xm:f>
              <xm:sqref>J240</xm:sqref>
            </x14:sparkline>
            <x14:sparkline>
              <xm:f>Слияние1!D241:D241</xm:f>
              <xm:sqref>J241</xm:sqref>
            </x14:sparkline>
            <x14:sparkline>
              <xm:f>Слияние1!D242:D242</xm:f>
              <xm:sqref>J242</xm:sqref>
            </x14:sparkline>
            <x14:sparkline>
              <xm:f>Слияние1!D243:D243</xm:f>
              <xm:sqref>J243</xm:sqref>
            </x14:sparkline>
            <x14:sparkline>
              <xm:f>Слияние1!D244:D244</xm:f>
              <xm:sqref>J244</xm:sqref>
            </x14:sparkline>
            <x14:sparkline>
              <xm:f>Слияние1!D245:D245</xm:f>
              <xm:sqref>J245</xm:sqref>
            </x14:sparkline>
            <x14:sparkline>
              <xm:f>Слияние1!D246:D246</xm:f>
              <xm:sqref>J246</xm:sqref>
            </x14:sparkline>
            <x14:sparkline>
              <xm:f>Слияние1!D247:D247</xm:f>
              <xm:sqref>J247</xm:sqref>
            </x14:sparkline>
            <x14:sparkline>
              <xm:f>Слияние1!D248:D248</xm:f>
              <xm:sqref>J248</xm:sqref>
            </x14:sparkline>
            <x14:sparkline>
              <xm:f>Слияние1!D249:D249</xm:f>
              <xm:sqref>J249</xm:sqref>
            </x14:sparkline>
            <x14:sparkline>
              <xm:f>Слияние1!D250:D250</xm:f>
              <xm:sqref>J250</xm:sqref>
            </x14:sparkline>
            <x14:sparkline>
              <xm:f>Слияние1!D251:D251</xm:f>
              <xm:sqref>J251</xm:sqref>
            </x14:sparkline>
            <x14:sparkline>
              <xm:f>Слияние1!D252:D252</xm:f>
              <xm:sqref>J252</xm:sqref>
            </x14:sparkline>
            <x14:sparkline>
              <xm:f>Слияние1!D253:D253</xm:f>
              <xm:sqref>J253</xm:sqref>
            </x14:sparkline>
            <x14:sparkline>
              <xm:f>Слияние1!D254:D254</xm:f>
              <xm:sqref>J254</xm:sqref>
            </x14:sparkline>
            <x14:sparkline>
              <xm:f>Слияние1!D255:D255</xm:f>
              <xm:sqref>J255</xm:sqref>
            </x14:sparkline>
            <x14:sparkline>
              <xm:f>Слияние1!D256:D256</xm:f>
              <xm:sqref>J256</xm:sqref>
            </x14:sparkline>
            <x14:sparkline>
              <xm:f>Слияние1!D257:D257</xm:f>
              <xm:sqref>J257</xm:sqref>
            </x14:sparkline>
            <x14:sparkline>
              <xm:f>Слияние1!D258:D258</xm:f>
              <xm:sqref>J258</xm:sqref>
            </x14:sparkline>
            <x14:sparkline>
              <xm:f>Слияние1!D259:D259</xm:f>
              <xm:sqref>J259</xm:sqref>
            </x14:sparkline>
            <x14:sparkline>
              <xm:f>Слияние1!D260:D260</xm:f>
              <xm:sqref>J260</xm:sqref>
            </x14:sparkline>
            <x14:sparkline>
              <xm:f>Слияние1!D261:D261</xm:f>
              <xm:sqref>J261</xm:sqref>
            </x14:sparkline>
            <x14:sparkline>
              <xm:f>Слияние1!D262:D262</xm:f>
              <xm:sqref>J262</xm:sqref>
            </x14:sparkline>
            <x14:sparkline>
              <xm:f>Слияние1!D263:D263</xm:f>
              <xm:sqref>J263</xm:sqref>
            </x14:sparkline>
            <x14:sparkline>
              <xm:f>Слияние1!D264:D264</xm:f>
              <xm:sqref>J264</xm:sqref>
            </x14:sparkline>
            <x14:sparkline>
              <xm:f>Слияние1!D265:D265</xm:f>
              <xm:sqref>J265</xm:sqref>
            </x14:sparkline>
            <x14:sparkline>
              <xm:f>Слияние1!D266:D266</xm:f>
              <xm:sqref>J266</xm:sqref>
            </x14:sparkline>
            <x14:sparkline>
              <xm:f>Слияние1!D267:D267</xm:f>
              <xm:sqref>J267</xm:sqref>
            </x14:sparkline>
            <x14:sparkline>
              <xm:f>Слияние1!D268:D268</xm:f>
              <xm:sqref>J268</xm:sqref>
            </x14:sparkline>
            <x14:sparkline>
              <xm:f>Слияние1!D269:D269</xm:f>
              <xm:sqref>J269</xm:sqref>
            </x14:sparkline>
            <x14:sparkline>
              <xm:f>Слияние1!D270:D270</xm:f>
              <xm:sqref>J270</xm:sqref>
            </x14:sparkline>
            <x14:sparkline>
              <xm:f>Слияние1!D271:D271</xm:f>
              <xm:sqref>J271</xm:sqref>
            </x14:sparkline>
            <x14:sparkline>
              <xm:f>Слияние1!D272:D272</xm:f>
              <xm:sqref>J272</xm:sqref>
            </x14:sparkline>
            <x14:sparkline>
              <xm:f>Слияние1!D273:D273</xm:f>
              <xm:sqref>J273</xm:sqref>
            </x14:sparkline>
            <x14:sparkline>
              <xm:f>Слияние1!D274:D274</xm:f>
              <xm:sqref>J274</xm:sqref>
            </x14:sparkline>
            <x14:sparkline>
              <xm:f>Слияние1!D275:D275</xm:f>
              <xm:sqref>J275</xm:sqref>
            </x14:sparkline>
            <x14:sparkline>
              <xm:f>Слияние1!D276:D276</xm:f>
              <xm:sqref>J276</xm:sqref>
            </x14:sparkline>
            <x14:sparkline>
              <xm:f>Слияние1!D277:D277</xm:f>
              <xm:sqref>J277</xm:sqref>
            </x14:sparkline>
            <x14:sparkline>
              <xm:f>Слияние1!D278:D278</xm:f>
              <xm:sqref>J278</xm:sqref>
            </x14:sparkline>
            <x14:sparkline>
              <xm:f>Слияние1!D279:D279</xm:f>
              <xm:sqref>J279</xm:sqref>
            </x14:sparkline>
            <x14:sparkline>
              <xm:f>Слияние1!D280:D280</xm:f>
              <xm:sqref>J280</xm:sqref>
            </x14:sparkline>
            <x14:sparkline>
              <xm:f>Слияние1!D281:D281</xm:f>
              <xm:sqref>J281</xm:sqref>
            </x14:sparkline>
            <x14:sparkline>
              <xm:f>Слияние1!D282:D282</xm:f>
              <xm:sqref>J282</xm:sqref>
            </x14:sparkline>
            <x14:sparkline>
              <xm:f>Слияние1!D283:D283</xm:f>
              <xm:sqref>J283</xm:sqref>
            </x14:sparkline>
            <x14:sparkline>
              <xm:f>Слияние1!D284:D284</xm:f>
              <xm:sqref>J284</xm:sqref>
            </x14:sparkline>
            <x14:sparkline>
              <xm:f>Слияние1!D285:D285</xm:f>
              <xm:sqref>J285</xm:sqref>
            </x14:sparkline>
            <x14:sparkline>
              <xm:f>Слияние1!D286:D286</xm:f>
              <xm:sqref>J286</xm:sqref>
            </x14:sparkline>
            <x14:sparkline>
              <xm:f>Слияние1!D287:D287</xm:f>
              <xm:sqref>J287</xm:sqref>
            </x14:sparkline>
            <x14:sparkline>
              <xm:f>Слияние1!D288:D288</xm:f>
              <xm:sqref>J288</xm:sqref>
            </x14:sparkline>
            <x14:sparkline>
              <xm:f>Слияние1!D289:D289</xm:f>
              <xm:sqref>J289</xm:sqref>
            </x14:sparkline>
            <x14:sparkline>
              <xm:f>Слияние1!D290:D290</xm:f>
              <xm:sqref>J290</xm:sqref>
            </x14:sparkline>
            <x14:sparkline>
              <xm:f>Слияние1!D291:D291</xm:f>
              <xm:sqref>J291</xm:sqref>
            </x14:sparkline>
            <x14:sparkline>
              <xm:f>Слияние1!D292:D292</xm:f>
              <xm:sqref>J292</xm:sqref>
            </x14:sparkline>
            <x14:sparkline>
              <xm:f>Слияние1!D293:D293</xm:f>
              <xm:sqref>J293</xm:sqref>
            </x14:sparkline>
            <x14:sparkline>
              <xm:f>Слияние1!D294:D294</xm:f>
              <xm:sqref>J294</xm:sqref>
            </x14:sparkline>
            <x14:sparkline>
              <xm:f>Слияние1!D295:D295</xm:f>
              <xm:sqref>J295</xm:sqref>
            </x14:sparkline>
            <x14:sparkline>
              <xm:f>Слияние1!D296:D296</xm:f>
              <xm:sqref>J296</xm:sqref>
            </x14:sparkline>
            <x14:sparkline>
              <xm:f>Слияние1!D297:D297</xm:f>
              <xm:sqref>J297</xm:sqref>
            </x14:sparkline>
            <x14:sparkline>
              <xm:f>Слияние1!D298:D298</xm:f>
              <xm:sqref>J298</xm:sqref>
            </x14:sparkline>
            <x14:sparkline>
              <xm:f>Слияние1!D299:D299</xm:f>
              <xm:sqref>J299</xm:sqref>
            </x14:sparkline>
            <x14:sparkline>
              <xm:f>Слияние1!D300:D300</xm:f>
              <xm:sqref>J300</xm:sqref>
            </x14:sparkline>
            <x14:sparkline>
              <xm:f>Слияние1!D301:D301</xm:f>
              <xm:sqref>J301</xm:sqref>
            </x14:sparkline>
            <x14:sparkline>
              <xm:f>Слияние1!D302:D302</xm:f>
              <xm:sqref>J302</xm:sqref>
            </x14:sparkline>
            <x14:sparkline>
              <xm:f>Слияние1!D303:D303</xm:f>
              <xm:sqref>J303</xm:sqref>
            </x14:sparkline>
            <x14:sparkline>
              <xm:f>Слияние1!D304:D304</xm:f>
              <xm:sqref>J304</xm:sqref>
            </x14:sparkline>
            <x14:sparkline>
              <xm:f>Слияние1!D305:D305</xm:f>
              <xm:sqref>J305</xm:sqref>
            </x14:sparkline>
            <x14:sparkline>
              <xm:f>Слияние1!D306:D306</xm:f>
              <xm:sqref>J306</xm:sqref>
            </x14:sparkline>
            <x14:sparkline>
              <xm:f>Слияние1!D307:D307</xm:f>
              <xm:sqref>J307</xm:sqref>
            </x14:sparkline>
            <x14:sparkline>
              <xm:f>Слияние1!D308:D308</xm:f>
              <xm:sqref>J308</xm:sqref>
            </x14:sparkline>
            <x14:sparkline>
              <xm:f>Слияние1!D309:D309</xm:f>
              <xm:sqref>J309</xm:sqref>
            </x14:sparkline>
            <x14:sparkline>
              <xm:f>Слияние1!D310:D310</xm:f>
              <xm:sqref>J310</xm:sqref>
            </x14:sparkline>
            <x14:sparkline>
              <xm:f>Слияние1!D311:D311</xm:f>
              <xm:sqref>J311</xm:sqref>
            </x14:sparkline>
            <x14:sparkline>
              <xm:f>Слияние1!D312:D312</xm:f>
              <xm:sqref>J312</xm:sqref>
            </x14:sparkline>
            <x14:sparkline>
              <xm:f>Слияние1!D313:D313</xm:f>
              <xm:sqref>J313</xm:sqref>
            </x14:sparkline>
            <x14:sparkline>
              <xm:f>Слияние1!D314:D314</xm:f>
              <xm:sqref>J314</xm:sqref>
            </x14:sparkline>
            <x14:sparkline>
              <xm:f>Слияние1!D315:D315</xm:f>
              <xm:sqref>J315</xm:sqref>
            </x14:sparkline>
            <x14:sparkline>
              <xm:f>Слияние1!D316:D316</xm:f>
              <xm:sqref>J316</xm:sqref>
            </x14:sparkline>
            <x14:sparkline>
              <xm:f>Слияние1!D317:D317</xm:f>
              <xm:sqref>J317</xm:sqref>
            </x14:sparkline>
            <x14:sparkline>
              <xm:f>Слияние1!D318:D318</xm:f>
              <xm:sqref>J318</xm:sqref>
            </x14:sparkline>
            <x14:sparkline>
              <xm:f>Слияние1!D319:D319</xm:f>
              <xm:sqref>J319</xm:sqref>
            </x14:sparkline>
            <x14:sparkline>
              <xm:f>Слияние1!D320:D320</xm:f>
              <xm:sqref>J320</xm:sqref>
            </x14:sparkline>
            <x14:sparkline>
              <xm:f>Слияние1!D321:D321</xm:f>
              <xm:sqref>J321</xm:sqref>
            </x14:sparkline>
            <x14:sparkline>
              <xm:f>Слияние1!D322:D322</xm:f>
              <xm:sqref>J322</xm:sqref>
            </x14:sparkline>
            <x14:sparkline>
              <xm:f>Слияние1!D323:D323</xm:f>
              <xm:sqref>J323</xm:sqref>
            </x14:sparkline>
            <x14:sparkline>
              <xm:f>Слияние1!D324:D324</xm:f>
              <xm:sqref>J324</xm:sqref>
            </x14:sparkline>
            <x14:sparkline>
              <xm:f>Слияние1!D325:D325</xm:f>
              <xm:sqref>J325</xm:sqref>
            </x14:sparkline>
            <x14:sparkline>
              <xm:f>Слияние1!D326:D326</xm:f>
              <xm:sqref>J326</xm:sqref>
            </x14:sparkline>
            <x14:sparkline>
              <xm:f>Слияние1!D327:D327</xm:f>
              <xm:sqref>J327</xm:sqref>
            </x14:sparkline>
            <x14:sparkline>
              <xm:f>Слияние1!D328:D328</xm:f>
              <xm:sqref>J328</xm:sqref>
            </x14:sparkline>
            <x14:sparkline>
              <xm:f>Слияние1!D329:D329</xm:f>
              <xm:sqref>J329</xm:sqref>
            </x14:sparkline>
            <x14:sparkline>
              <xm:f>Слияние1!D330:D330</xm:f>
              <xm:sqref>J330</xm:sqref>
            </x14:sparkline>
            <x14:sparkline>
              <xm:f>Слияние1!D331:D331</xm:f>
              <xm:sqref>J331</xm:sqref>
            </x14:sparkline>
            <x14:sparkline>
              <xm:f>Слияние1!D332:D332</xm:f>
              <xm:sqref>J332</xm:sqref>
            </x14:sparkline>
            <x14:sparkline>
              <xm:f>Слияние1!D333:D333</xm:f>
              <xm:sqref>J333</xm:sqref>
            </x14:sparkline>
            <x14:sparkline>
              <xm:f>Слияние1!D334:D334</xm:f>
              <xm:sqref>J334</xm:sqref>
            </x14:sparkline>
            <x14:sparkline>
              <xm:f>Слияние1!D335:D335</xm:f>
              <xm:sqref>J335</xm:sqref>
            </x14:sparkline>
            <x14:sparkline>
              <xm:f>Слияние1!D336:D336</xm:f>
              <xm:sqref>J336</xm:sqref>
            </x14:sparkline>
            <x14:sparkline>
              <xm:f>Слияние1!D337:D337</xm:f>
              <xm:sqref>J337</xm:sqref>
            </x14:sparkline>
            <x14:sparkline>
              <xm:f>Слияние1!D338:D338</xm:f>
              <xm:sqref>J338</xm:sqref>
            </x14:sparkline>
            <x14:sparkline>
              <xm:f>Слияние1!D339:D339</xm:f>
              <xm:sqref>J339</xm:sqref>
            </x14:sparkline>
            <x14:sparkline>
              <xm:f>Слияние1!D340:D340</xm:f>
              <xm:sqref>J340</xm:sqref>
            </x14:sparkline>
            <x14:sparkline>
              <xm:f>Слияние1!D341:D341</xm:f>
              <xm:sqref>J341</xm:sqref>
            </x14:sparkline>
            <x14:sparkline>
              <xm:f>Слияние1!D342:D342</xm:f>
              <xm:sqref>J342</xm:sqref>
            </x14:sparkline>
            <x14:sparkline>
              <xm:f>Слияние1!D343:D343</xm:f>
              <xm:sqref>J343</xm:sqref>
            </x14:sparkline>
            <x14:sparkline>
              <xm:f>Слияние1!D344:D344</xm:f>
              <xm:sqref>J344</xm:sqref>
            </x14:sparkline>
            <x14:sparkline>
              <xm:f>Слияние1!D345:D345</xm:f>
              <xm:sqref>J345</xm:sqref>
            </x14:sparkline>
            <x14:sparkline>
              <xm:f>Слияние1!D346:D346</xm:f>
              <xm:sqref>J346</xm:sqref>
            </x14:sparkline>
            <x14:sparkline>
              <xm:f>Слияние1!D347:D347</xm:f>
              <xm:sqref>J347</xm:sqref>
            </x14:sparkline>
            <x14:sparkline>
              <xm:f>Слияние1!D348:D348</xm:f>
              <xm:sqref>J348</xm:sqref>
            </x14:sparkline>
            <x14:sparkline>
              <xm:f>Слияние1!D349:D349</xm:f>
              <xm:sqref>J349</xm:sqref>
            </x14:sparkline>
            <x14:sparkline>
              <xm:f>Слияние1!D350:D350</xm:f>
              <xm:sqref>J350</xm:sqref>
            </x14:sparkline>
            <x14:sparkline>
              <xm:f>Слияние1!D351:D351</xm:f>
              <xm:sqref>J351</xm:sqref>
            </x14:sparkline>
            <x14:sparkline>
              <xm:f>Слияние1!D352:D352</xm:f>
              <xm:sqref>J352</xm:sqref>
            </x14:sparkline>
            <x14:sparkline>
              <xm:f>Слияние1!D353:D353</xm:f>
              <xm:sqref>J353</xm:sqref>
            </x14:sparkline>
            <x14:sparkline>
              <xm:f>Слияние1!D354:D354</xm:f>
              <xm:sqref>J354</xm:sqref>
            </x14:sparkline>
            <x14:sparkline>
              <xm:f>Слияние1!D355:D355</xm:f>
              <xm:sqref>J355</xm:sqref>
            </x14:sparkline>
            <x14:sparkline>
              <xm:f>Слияние1!D356:D356</xm:f>
              <xm:sqref>J356</xm:sqref>
            </x14:sparkline>
            <x14:sparkline>
              <xm:f>Слияние1!D357:D357</xm:f>
              <xm:sqref>J357</xm:sqref>
            </x14:sparkline>
            <x14:sparkline>
              <xm:f>Слияние1!D358:D358</xm:f>
              <xm:sqref>J358</xm:sqref>
            </x14:sparkline>
            <x14:sparkline>
              <xm:f>Слияние1!D359:D359</xm:f>
              <xm:sqref>J359</xm:sqref>
            </x14:sparkline>
            <x14:sparkline>
              <xm:f>Слияние1!D360:D360</xm:f>
              <xm:sqref>J360</xm:sqref>
            </x14:sparkline>
            <x14:sparkline>
              <xm:f>Слияние1!D361:D361</xm:f>
              <xm:sqref>J361</xm:sqref>
            </x14:sparkline>
            <x14:sparkline>
              <xm:f>Слияние1!D362:D362</xm:f>
              <xm:sqref>J362</xm:sqref>
            </x14:sparkline>
            <x14:sparkline>
              <xm:f>Слияние1!D363:D363</xm:f>
              <xm:sqref>J363</xm:sqref>
            </x14:sparkline>
            <x14:sparkline>
              <xm:f>Слияние1!D364:D364</xm:f>
              <xm:sqref>J364</xm:sqref>
            </x14:sparkline>
            <x14:sparkline>
              <xm:f>Слияние1!D365:D365</xm:f>
              <xm:sqref>J365</xm:sqref>
            </x14:sparkline>
            <x14:sparkline>
              <xm:f>Слияние1!D366:D366</xm:f>
              <xm:sqref>J366</xm:sqref>
            </x14:sparkline>
            <x14:sparkline>
              <xm:f>Слияние1!D367:D367</xm:f>
              <xm:sqref>J367</xm:sqref>
            </x14:sparkline>
            <x14:sparkline>
              <xm:f>Слияние1!D368:D368</xm:f>
              <xm:sqref>J368</xm:sqref>
            </x14:sparkline>
            <x14:sparkline>
              <xm:f>Слияние1!D369:D369</xm:f>
              <xm:sqref>J369</xm:sqref>
            </x14:sparkline>
            <x14:sparkline>
              <xm:f>Слияние1!D370:D370</xm:f>
              <xm:sqref>J370</xm:sqref>
            </x14:sparkline>
            <x14:sparkline>
              <xm:f>Слияние1!D371:D371</xm:f>
              <xm:sqref>J371</xm:sqref>
            </x14:sparkline>
            <x14:sparkline>
              <xm:f>Слияние1!D372:D372</xm:f>
              <xm:sqref>J372</xm:sqref>
            </x14:sparkline>
            <x14:sparkline>
              <xm:f>Слияние1!D373:D373</xm:f>
              <xm:sqref>J373</xm:sqref>
            </x14:sparkline>
            <x14:sparkline>
              <xm:f>Слияние1!D374:D374</xm:f>
              <xm:sqref>J374</xm:sqref>
            </x14:sparkline>
            <x14:sparkline>
              <xm:f>Слияние1!D375:D375</xm:f>
              <xm:sqref>J375</xm:sqref>
            </x14:sparkline>
            <x14:sparkline>
              <xm:f>Слияние1!D376:D376</xm:f>
              <xm:sqref>J376</xm:sqref>
            </x14:sparkline>
            <x14:sparkline>
              <xm:f>Слияние1!D377:D377</xm:f>
              <xm:sqref>J377</xm:sqref>
            </x14:sparkline>
            <x14:sparkline>
              <xm:f>Слияние1!D378:D378</xm:f>
              <xm:sqref>J378</xm:sqref>
            </x14:sparkline>
            <x14:sparkline>
              <xm:f>Слияние1!D379:D379</xm:f>
              <xm:sqref>J379</xm:sqref>
            </x14:sparkline>
            <x14:sparkline>
              <xm:f>Слияние1!D380:D380</xm:f>
              <xm:sqref>J380</xm:sqref>
            </x14:sparkline>
            <x14:sparkline>
              <xm:f>Слияние1!D381:D381</xm:f>
              <xm:sqref>J381</xm:sqref>
            </x14:sparkline>
            <x14:sparkline>
              <xm:f>Слияние1!D382:D382</xm:f>
              <xm:sqref>J382</xm:sqref>
            </x14:sparkline>
            <x14:sparkline>
              <xm:f>Слияние1!D383:D383</xm:f>
              <xm:sqref>J383</xm:sqref>
            </x14:sparkline>
            <x14:sparkline>
              <xm:f>Слияние1!D384:D384</xm:f>
              <xm:sqref>J384</xm:sqref>
            </x14:sparkline>
            <x14:sparkline>
              <xm:f>Слияние1!D385:D385</xm:f>
              <xm:sqref>J385</xm:sqref>
            </x14:sparkline>
            <x14:sparkline>
              <xm:f>Слияние1!D386:D386</xm:f>
              <xm:sqref>J386</xm:sqref>
            </x14:sparkline>
            <x14:sparkline>
              <xm:f>Слияние1!D387:D387</xm:f>
              <xm:sqref>J387</xm:sqref>
            </x14:sparkline>
            <x14:sparkline>
              <xm:f>Слияние1!D388:D388</xm:f>
              <xm:sqref>J388</xm:sqref>
            </x14:sparkline>
            <x14:sparkline>
              <xm:f>Слияние1!D389:D389</xm:f>
              <xm:sqref>J389</xm:sqref>
            </x14:sparkline>
            <x14:sparkline>
              <xm:f>Слияние1!D390:D390</xm:f>
              <xm:sqref>J390</xm:sqref>
            </x14:sparkline>
            <x14:sparkline>
              <xm:f>Слияние1!D391:D391</xm:f>
              <xm:sqref>J391</xm:sqref>
            </x14:sparkline>
            <x14:sparkline>
              <xm:f>Слияние1!D392:D392</xm:f>
              <xm:sqref>J392</xm:sqref>
            </x14:sparkline>
            <x14:sparkline>
              <xm:f>Слияние1!D393:D393</xm:f>
              <xm:sqref>J393</xm:sqref>
            </x14:sparkline>
            <x14:sparkline>
              <xm:f>Слияние1!D394:D394</xm:f>
              <xm:sqref>J394</xm:sqref>
            </x14:sparkline>
            <x14:sparkline>
              <xm:f>Слияние1!D395:D395</xm:f>
              <xm:sqref>J395</xm:sqref>
            </x14:sparkline>
            <x14:sparkline>
              <xm:f>Слияние1!D396:D396</xm:f>
              <xm:sqref>J396</xm:sqref>
            </x14:sparkline>
            <x14:sparkline>
              <xm:f>Слияние1!D397:D397</xm:f>
              <xm:sqref>J397</xm:sqref>
            </x14:sparkline>
            <x14:sparkline>
              <xm:f>Слияние1!D398:D398</xm:f>
              <xm:sqref>J398</xm:sqref>
            </x14:sparkline>
            <x14:sparkline>
              <xm:f>Слияние1!D399:D399</xm:f>
              <xm:sqref>J399</xm:sqref>
            </x14:sparkline>
            <x14:sparkline>
              <xm:f>Слияние1!D400:D400</xm:f>
              <xm:sqref>J400</xm:sqref>
            </x14:sparkline>
            <x14:sparkline>
              <xm:f>Слияние1!D401:D401</xm:f>
              <xm:sqref>J401</xm:sqref>
            </x14:sparkline>
            <x14:sparkline>
              <xm:f>Слияние1!D402:D402</xm:f>
              <xm:sqref>J402</xm:sqref>
            </x14:sparkline>
            <x14:sparkline>
              <xm:f>Слияние1!D403:D403</xm:f>
              <xm:sqref>J403</xm:sqref>
            </x14:sparkline>
            <x14:sparkline>
              <xm:f>Слияние1!D404:D404</xm:f>
              <xm:sqref>J404</xm:sqref>
            </x14:sparkline>
            <x14:sparkline>
              <xm:f>Слияние1!D405:D405</xm:f>
              <xm:sqref>J405</xm:sqref>
            </x14:sparkline>
            <x14:sparkline>
              <xm:f>Слияние1!D406:D406</xm:f>
              <xm:sqref>J406</xm:sqref>
            </x14:sparkline>
            <x14:sparkline>
              <xm:f>Слияние1!D407:D407</xm:f>
              <xm:sqref>J407</xm:sqref>
            </x14:sparkline>
            <x14:sparkline>
              <xm:f>Слияние1!D408:D408</xm:f>
              <xm:sqref>J408</xm:sqref>
            </x14:sparkline>
            <x14:sparkline>
              <xm:f>Слияние1!D409:D409</xm:f>
              <xm:sqref>J409</xm:sqref>
            </x14:sparkline>
            <x14:sparkline>
              <xm:f>Слияние1!D410:D410</xm:f>
              <xm:sqref>J410</xm:sqref>
            </x14:sparkline>
            <x14:sparkline>
              <xm:f>Слияние1!D411:D411</xm:f>
              <xm:sqref>J411</xm:sqref>
            </x14:sparkline>
            <x14:sparkline>
              <xm:f>Слияние1!D412:D412</xm:f>
              <xm:sqref>J412</xm:sqref>
            </x14:sparkline>
            <x14:sparkline>
              <xm:f>Слияние1!D413:D413</xm:f>
              <xm:sqref>J413</xm:sqref>
            </x14:sparkline>
            <x14:sparkline>
              <xm:f>Слияние1!D414:D414</xm:f>
              <xm:sqref>J414</xm:sqref>
            </x14:sparkline>
            <x14:sparkline>
              <xm:f>Слияние1!D415:D415</xm:f>
              <xm:sqref>J415</xm:sqref>
            </x14:sparkline>
            <x14:sparkline>
              <xm:f>Слияние1!D416:D416</xm:f>
              <xm:sqref>J416</xm:sqref>
            </x14:sparkline>
            <x14:sparkline>
              <xm:f>Слияние1!D417:D417</xm:f>
              <xm:sqref>J417</xm:sqref>
            </x14:sparkline>
            <x14:sparkline>
              <xm:f>Слияние1!D418:D418</xm:f>
              <xm:sqref>J418</xm:sqref>
            </x14:sparkline>
            <x14:sparkline>
              <xm:f>Слияние1!D419:D419</xm:f>
              <xm:sqref>J419</xm:sqref>
            </x14:sparkline>
            <x14:sparkline>
              <xm:f>Слияние1!D420:D420</xm:f>
              <xm:sqref>J420</xm:sqref>
            </x14:sparkline>
            <x14:sparkline>
              <xm:f>Слияние1!D421:D421</xm:f>
              <xm:sqref>J421</xm:sqref>
            </x14:sparkline>
            <x14:sparkline>
              <xm:f>Слияние1!D422:D422</xm:f>
              <xm:sqref>J422</xm:sqref>
            </x14:sparkline>
            <x14:sparkline>
              <xm:f>Слияние1!D423:D423</xm:f>
              <xm:sqref>J423</xm:sqref>
            </x14:sparkline>
            <x14:sparkline>
              <xm:f>Слияние1!D424:D424</xm:f>
              <xm:sqref>J424</xm:sqref>
            </x14:sparkline>
            <x14:sparkline>
              <xm:f>Слияние1!D425:D425</xm:f>
              <xm:sqref>J425</xm:sqref>
            </x14:sparkline>
            <x14:sparkline>
              <xm:f>Слияние1!D426:D426</xm:f>
              <xm:sqref>J426</xm:sqref>
            </x14:sparkline>
            <x14:sparkline>
              <xm:f>Слияние1!D427:D427</xm:f>
              <xm:sqref>J427</xm:sqref>
            </x14:sparkline>
            <x14:sparkline>
              <xm:f>Слияние1!D428:D428</xm:f>
              <xm:sqref>J428</xm:sqref>
            </x14:sparkline>
            <x14:sparkline>
              <xm:f>Слияние1!D429:D429</xm:f>
              <xm:sqref>J429</xm:sqref>
            </x14:sparkline>
            <x14:sparkline>
              <xm:f>Слияние1!D430:D430</xm:f>
              <xm:sqref>J430</xm:sqref>
            </x14:sparkline>
            <x14:sparkline>
              <xm:f>Слияние1!D431:D431</xm:f>
              <xm:sqref>J431</xm:sqref>
            </x14:sparkline>
            <x14:sparkline>
              <xm:f>Слияние1!D432:D432</xm:f>
              <xm:sqref>J432</xm:sqref>
            </x14:sparkline>
            <x14:sparkline>
              <xm:f>Слияние1!D433:D433</xm:f>
              <xm:sqref>J433</xm:sqref>
            </x14:sparkline>
            <x14:sparkline>
              <xm:f>Слияние1!D434:D434</xm:f>
              <xm:sqref>J434</xm:sqref>
            </x14:sparkline>
            <x14:sparkline>
              <xm:f>Слияние1!D435:D435</xm:f>
              <xm:sqref>J435</xm:sqref>
            </x14:sparkline>
            <x14:sparkline>
              <xm:f>Слияние1!D436:D436</xm:f>
              <xm:sqref>J436</xm:sqref>
            </x14:sparkline>
            <x14:sparkline>
              <xm:f>Слияние1!D437:D437</xm:f>
              <xm:sqref>J437</xm:sqref>
            </x14:sparkline>
            <x14:sparkline>
              <xm:f>Слияние1!D438:D438</xm:f>
              <xm:sqref>J438</xm:sqref>
            </x14:sparkline>
            <x14:sparkline>
              <xm:f>Слияние1!D439:D439</xm:f>
              <xm:sqref>J439</xm:sqref>
            </x14:sparkline>
            <x14:sparkline>
              <xm:f>Слияние1!D440:D440</xm:f>
              <xm:sqref>J440</xm:sqref>
            </x14:sparkline>
            <x14:sparkline>
              <xm:f>Слияние1!D441:D441</xm:f>
              <xm:sqref>J441</xm:sqref>
            </x14:sparkline>
            <x14:sparkline>
              <xm:f>Слияние1!D442:D442</xm:f>
              <xm:sqref>J442</xm:sqref>
            </x14:sparkline>
            <x14:sparkline>
              <xm:f>Слияние1!D443:D443</xm:f>
              <xm:sqref>J443</xm:sqref>
            </x14:sparkline>
            <x14:sparkline>
              <xm:f>Слияние1!D444:D444</xm:f>
              <xm:sqref>J444</xm:sqref>
            </x14:sparkline>
            <x14:sparkline>
              <xm:f>Слияние1!D445:D445</xm:f>
              <xm:sqref>J445</xm:sqref>
            </x14:sparkline>
            <x14:sparkline>
              <xm:f>Слияние1!D446:D446</xm:f>
              <xm:sqref>J446</xm:sqref>
            </x14:sparkline>
            <x14:sparkline>
              <xm:f>Слияние1!D447:D447</xm:f>
              <xm:sqref>J447</xm:sqref>
            </x14:sparkline>
            <x14:sparkline>
              <xm:f>Слияние1!D448:D448</xm:f>
              <xm:sqref>J448</xm:sqref>
            </x14:sparkline>
            <x14:sparkline>
              <xm:f>Слияние1!D449:D449</xm:f>
              <xm:sqref>J449</xm:sqref>
            </x14:sparkline>
            <x14:sparkline>
              <xm:f>Слияние1!D450:D450</xm:f>
              <xm:sqref>J450</xm:sqref>
            </x14:sparkline>
            <x14:sparkline>
              <xm:f>Слияние1!D451:D451</xm:f>
              <xm:sqref>J451</xm:sqref>
            </x14:sparkline>
            <x14:sparkline>
              <xm:f>Слияние1!D452:D452</xm:f>
              <xm:sqref>J452</xm:sqref>
            </x14:sparkline>
            <x14:sparkline>
              <xm:f>Слияние1!D453:D453</xm:f>
              <xm:sqref>J453</xm:sqref>
            </x14:sparkline>
            <x14:sparkline>
              <xm:f>Слияние1!D454:D454</xm:f>
              <xm:sqref>J454</xm:sqref>
            </x14:sparkline>
            <x14:sparkline>
              <xm:f>Слияние1!D455:D455</xm:f>
              <xm:sqref>J455</xm:sqref>
            </x14:sparkline>
            <x14:sparkline>
              <xm:f>Слияние1!D456:D456</xm:f>
              <xm:sqref>J456</xm:sqref>
            </x14:sparkline>
            <x14:sparkline>
              <xm:f>Слияние1!D457:D457</xm:f>
              <xm:sqref>J457</xm:sqref>
            </x14:sparkline>
            <x14:sparkline>
              <xm:f>Слияние1!D458:D458</xm:f>
              <xm:sqref>J458</xm:sqref>
            </x14:sparkline>
            <x14:sparkline>
              <xm:f>Слияние1!D459:D459</xm:f>
              <xm:sqref>J459</xm:sqref>
            </x14:sparkline>
            <x14:sparkline>
              <xm:f>Слияние1!D460:D460</xm:f>
              <xm:sqref>J460</xm:sqref>
            </x14:sparkline>
            <x14:sparkline>
              <xm:f>Слияние1!D461:D461</xm:f>
              <xm:sqref>J461</xm:sqref>
            </x14:sparkline>
            <x14:sparkline>
              <xm:f>Слияние1!D462:D462</xm:f>
              <xm:sqref>J462</xm:sqref>
            </x14:sparkline>
            <x14:sparkline>
              <xm:f>Слияние1!D463:D463</xm:f>
              <xm:sqref>J463</xm:sqref>
            </x14:sparkline>
            <x14:sparkline>
              <xm:f>Слияние1!D464:D464</xm:f>
              <xm:sqref>J464</xm:sqref>
            </x14:sparkline>
            <x14:sparkline>
              <xm:f>Слияние1!D465:D465</xm:f>
              <xm:sqref>J465</xm:sqref>
            </x14:sparkline>
            <x14:sparkline>
              <xm:f>Слияние1!D466:D466</xm:f>
              <xm:sqref>J466</xm:sqref>
            </x14:sparkline>
            <x14:sparkline>
              <xm:f>Слияние1!D467:D467</xm:f>
              <xm:sqref>J467</xm:sqref>
            </x14:sparkline>
            <x14:sparkline>
              <xm:f>Слияние1!D468:D468</xm:f>
              <xm:sqref>J468</xm:sqref>
            </x14:sparkline>
            <x14:sparkline>
              <xm:f>Слияние1!D469:D469</xm:f>
              <xm:sqref>J469</xm:sqref>
            </x14:sparkline>
            <x14:sparkline>
              <xm:f>Слияние1!D470:D470</xm:f>
              <xm:sqref>J470</xm:sqref>
            </x14:sparkline>
            <x14:sparkline>
              <xm:f>Слияние1!D471:D471</xm:f>
              <xm:sqref>J471</xm:sqref>
            </x14:sparkline>
            <x14:sparkline>
              <xm:f>Слияние1!D472:D472</xm:f>
              <xm:sqref>J472</xm:sqref>
            </x14:sparkline>
            <x14:sparkline>
              <xm:f>Слияние1!D473:D473</xm:f>
              <xm:sqref>J473</xm:sqref>
            </x14:sparkline>
            <x14:sparkline>
              <xm:f>Слияние1!D474:D474</xm:f>
              <xm:sqref>J474</xm:sqref>
            </x14:sparkline>
            <x14:sparkline>
              <xm:f>Слияние1!D475:D475</xm:f>
              <xm:sqref>J475</xm:sqref>
            </x14:sparkline>
            <x14:sparkline>
              <xm:f>Слияние1!D476:D476</xm:f>
              <xm:sqref>J476</xm:sqref>
            </x14:sparkline>
            <x14:sparkline>
              <xm:f>Слияние1!D477:D477</xm:f>
              <xm:sqref>J477</xm:sqref>
            </x14:sparkline>
            <x14:sparkline>
              <xm:f>Слияние1!D478:D478</xm:f>
              <xm:sqref>J478</xm:sqref>
            </x14:sparkline>
            <x14:sparkline>
              <xm:f>Слияние1!D479:D479</xm:f>
              <xm:sqref>J479</xm:sqref>
            </x14:sparkline>
            <x14:sparkline>
              <xm:f>Слияние1!D480:D480</xm:f>
              <xm:sqref>J480</xm:sqref>
            </x14:sparkline>
            <x14:sparkline>
              <xm:f>Слияние1!D481:D481</xm:f>
              <xm:sqref>J481</xm:sqref>
            </x14:sparkline>
            <x14:sparkline>
              <xm:f>Слияние1!D482:D482</xm:f>
              <xm:sqref>J482</xm:sqref>
            </x14:sparkline>
            <x14:sparkline>
              <xm:f>Слияние1!D483:D483</xm:f>
              <xm:sqref>J483</xm:sqref>
            </x14:sparkline>
            <x14:sparkline>
              <xm:f>Слияние1!D484:D484</xm:f>
              <xm:sqref>J484</xm:sqref>
            </x14:sparkline>
            <x14:sparkline>
              <xm:f>Слияние1!D485:D485</xm:f>
              <xm:sqref>J485</xm:sqref>
            </x14:sparkline>
            <x14:sparkline>
              <xm:f>Слияние1!D486:D486</xm:f>
              <xm:sqref>J486</xm:sqref>
            </x14:sparkline>
            <x14:sparkline>
              <xm:f>Слияние1!D487:D487</xm:f>
              <xm:sqref>J487</xm:sqref>
            </x14:sparkline>
            <x14:sparkline>
              <xm:f>Слияние1!D488:D488</xm:f>
              <xm:sqref>J488</xm:sqref>
            </x14:sparkline>
            <x14:sparkline>
              <xm:f>Слияние1!D489:D489</xm:f>
              <xm:sqref>J489</xm:sqref>
            </x14:sparkline>
            <x14:sparkline>
              <xm:f>Слияние1!D490:D490</xm:f>
              <xm:sqref>J490</xm:sqref>
            </x14:sparkline>
            <x14:sparkline>
              <xm:f>Слияние1!D491:D491</xm:f>
              <xm:sqref>J491</xm:sqref>
            </x14:sparkline>
            <x14:sparkline>
              <xm:f>Слияние1!D492:D492</xm:f>
              <xm:sqref>J492</xm:sqref>
            </x14:sparkline>
            <x14:sparkline>
              <xm:f>Слияние1!D493:D493</xm:f>
              <xm:sqref>J493</xm:sqref>
            </x14:sparkline>
            <x14:sparkline>
              <xm:f>Слияние1!D494:D494</xm:f>
              <xm:sqref>J494</xm:sqref>
            </x14:sparkline>
            <x14:sparkline>
              <xm:f>Слияние1!D495:D495</xm:f>
              <xm:sqref>J495</xm:sqref>
            </x14:sparkline>
            <x14:sparkline>
              <xm:f>Слияние1!D496:D496</xm:f>
              <xm:sqref>J496</xm:sqref>
            </x14:sparkline>
            <x14:sparkline>
              <xm:f>Слияние1!D497:D497</xm:f>
              <xm:sqref>J497</xm:sqref>
            </x14:sparkline>
            <x14:sparkline>
              <xm:f>Слияние1!D498:D498</xm:f>
              <xm:sqref>J498</xm:sqref>
            </x14:sparkline>
            <x14:sparkline>
              <xm:f>Слияние1!D499:D499</xm:f>
              <xm:sqref>J499</xm:sqref>
            </x14:sparkline>
            <x14:sparkline>
              <xm:f>Слияние1!D500:D500</xm:f>
              <xm:sqref>J500</xm:sqref>
            </x14:sparkline>
            <x14:sparkline>
              <xm:f>Слияние1!D501:D501</xm:f>
              <xm:sqref>J501</xm:sqref>
            </x14:sparkline>
            <x14:sparkline>
              <xm:f>Слияние1!D502:D502</xm:f>
              <xm:sqref>J502</xm:sqref>
            </x14:sparkline>
            <x14:sparkline>
              <xm:f>Слияние1!D503:D503</xm:f>
              <xm:sqref>J503</xm:sqref>
            </x14:sparkline>
            <x14:sparkline>
              <xm:f>Слияние1!D504:D504</xm:f>
              <xm:sqref>J504</xm:sqref>
            </x14:sparkline>
            <x14:sparkline>
              <xm:f>Слияние1!D505:D505</xm:f>
              <xm:sqref>J505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53D9-5CEF-4EED-8295-ACBD5E6BE410}">
  <sheetPr codeName="Лист3"/>
  <dimension ref="A1:E1000"/>
  <sheetViews>
    <sheetView workbookViewId="0"/>
  </sheetViews>
  <sheetFormatPr defaultRowHeight="14.4" x14ac:dyDescent="0.3"/>
  <cols>
    <col min="1" max="1" width="10.109375" bestFit="1" customWidth="1"/>
    <col min="2" max="2" width="21" bestFit="1" customWidth="1"/>
    <col min="3" max="3" width="21.109375" bestFit="1" customWidth="1"/>
    <col min="4" max="4" width="20.88671875" bestFit="1" customWidth="1"/>
    <col min="5" max="5" width="22.10937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 s="13">
        <v>43949</v>
      </c>
      <c r="B2" t="s">
        <v>16</v>
      </c>
      <c r="C2">
        <v>36</v>
      </c>
      <c r="D2">
        <v>4923</v>
      </c>
      <c r="E2">
        <v>4560</v>
      </c>
    </row>
    <row r="3" spans="1:5" x14ac:dyDescent="0.3">
      <c r="A3" s="13">
        <v>43949</v>
      </c>
      <c r="B3" t="s">
        <v>11</v>
      </c>
      <c r="C3">
        <v>31</v>
      </c>
      <c r="D3">
        <v>5465</v>
      </c>
      <c r="E3">
        <v>5096</v>
      </c>
    </row>
    <row r="4" spans="1:5" x14ac:dyDescent="0.3">
      <c r="A4" s="13">
        <v>43949</v>
      </c>
      <c r="B4" t="s">
        <v>17</v>
      </c>
      <c r="C4">
        <v>19</v>
      </c>
      <c r="D4">
        <v>1846</v>
      </c>
      <c r="E4">
        <v>1681</v>
      </c>
    </row>
    <row r="5" spans="1:5" x14ac:dyDescent="0.3">
      <c r="A5" s="13">
        <v>43949</v>
      </c>
      <c r="B5" t="s">
        <v>10</v>
      </c>
      <c r="C5">
        <v>18</v>
      </c>
      <c r="D5">
        <v>1539</v>
      </c>
      <c r="E5">
        <v>1404</v>
      </c>
    </row>
    <row r="6" spans="1:5" x14ac:dyDescent="0.3">
      <c r="A6" s="13">
        <v>43949</v>
      </c>
      <c r="B6" t="s">
        <v>20</v>
      </c>
      <c r="C6">
        <v>18</v>
      </c>
      <c r="D6">
        <v>1505</v>
      </c>
      <c r="E6">
        <v>1368</v>
      </c>
    </row>
    <row r="7" spans="1:5" x14ac:dyDescent="0.3">
      <c r="A7" s="13">
        <v>43949</v>
      </c>
      <c r="B7" t="s">
        <v>22</v>
      </c>
      <c r="C7">
        <v>54</v>
      </c>
      <c r="D7">
        <v>12306</v>
      </c>
      <c r="E7">
        <v>11532</v>
      </c>
    </row>
    <row r="8" spans="1:5" x14ac:dyDescent="0.3">
      <c r="A8" s="13">
        <v>43949</v>
      </c>
      <c r="B8" t="s">
        <v>21</v>
      </c>
      <c r="C8">
        <v>59</v>
      </c>
      <c r="D8">
        <v>12943</v>
      </c>
      <c r="E8">
        <v>12072</v>
      </c>
    </row>
    <row r="9" spans="1:5" x14ac:dyDescent="0.3">
      <c r="A9" s="13">
        <v>43949</v>
      </c>
      <c r="B9" t="s">
        <v>13</v>
      </c>
      <c r="C9">
        <v>17</v>
      </c>
      <c r="D9">
        <v>1439</v>
      </c>
      <c r="E9">
        <v>1265</v>
      </c>
    </row>
    <row r="10" spans="1:5" x14ac:dyDescent="0.3">
      <c r="A10" s="13">
        <v>43949</v>
      </c>
      <c r="B10" t="s">
        <v>23</v>
      </c>
      <c r="C10">
        <v>15</v>
      </c>
      <c r="D10">
        <v>636</v>
      </c>
      <c r="E10">
        <v>547</v>
      </c>
    </row>
    <row r="11" spans="1:5" x14ac:dyDescent="0.3">
      <c r="A11" s="13">
        <v>43949</v>
      </c>
      <c r="B11" t="s">
        <v>18</v>
      </c>
      <c r="C11">
        <v>15</v>
      </c>
      <c r="D11">
        <v>780</v>
      </c>
      <c r="E11">
        <v>690</v>
      </c>
    </row>
    <row r="12" spans="1:5" x14ac:dyDescent="0.3">
      <c r="A12" s="13">
        <v>43949</v>
      </c>
      <c r="B12" t="s">
        <v>15</v>
      </c>
      <c r="C12">
        <v>125</v>
      </c>
      <c r="D12">
        <v>20914</v>
      </c>
      <c r="E12">
        <v>19479</v>
      </c>
    </row>
    <row r="13" spans="1:5" x14ac:dyDescent="0.3">
      <c r="A13" s="13">
        <v>43949</v>
      </c>
      <c r="B13" t="s">
        <v>14</v>
      </c>
      <c r="C13">
        <v>128</v>
      </c>
      <c r="D13">
        <v>16450</v>
      </c>
      <c r="E13">
        <v>15320</v>
      </c>
    </row>
    <row r="14" spans="1:5" x14ac:dyDescent="0.3">
      <c r="A14" s="13">
        <v>43949</v>
      </c>
      <c r="B14" t="s">
        <v>12</v>
      </c>
      <c r="C14">
        <v>10</v>
      </c>
      <c r="D14">
        <v>580</v>
      </c>
      <c r="E14">
        <v>506</v>
      </c>
    </row>
    <row r="15" spans="1:5" x14ac:dyDescent="0.3">
      <c r="A15" s="13">
        <v>43950</v>
      </c>
      <c r="B15" t="s">
        <v>16</v>
      </c>
      <c r="C15">
        <v>36</v>
      </c>
      <c r="D15">
        <v>4937</v>
      </c>
      <c r="E15">
        <v>4561</v>
      </c>
    </row>
    <row r="16" spans="1:5" x14ac:dyDescent="0.3">
      <c r="A16" s="13">
        <v>43950</v>
      </c>
      <c r="B16" t="s">
        <v>11</v>
      </c>
      <c r="C16">
        <v>31</v>
      </c>
      <c r="D16">
        <v>5378</v>
      </c>
      <c r="E16">
        <v>4985</v>
      </c>
    </row>
    <row r="17" spans="1:5" x14ac:dyDescent="0.3">
      <c r="A17" s="13">
        <v>43950</v>
      </c>
      <c r="B17" t="s">
        <v>17</v>
      </c>
      <c r="C17">
        <v>19</v>
      </c>
      <c r="D17">
        <v>1676</v>
      </c>
      <c r="E17">
        <v>1516</v>
      </c>
    </row>
    <row r="18" spans="1:5" x14ac:dyDescent="0.3">
      <c r="A18" s="13">
        <v>43950</v>
      </c>
      <c r="B18" t="s">
        <v>10</v>
      </c>
      <c r="C18">
        <v>18</v>
      </c>
      <c r="D18">
        <v>1684</v>
      </c>
      <c r="E18">
        <v>1528</v>
      </c>
    </row>
    <row r="19" spans="1:5" x14ac:dyDescent="0.3">
      <c r="A19" s="13">
        <v>43950</v>
      </c>
      <c r="B19" t="s">
        <v>20</v>
      </c>
      <c r="C19">
        <v>18</v>
      </c>
      <c r="D19">
        <v>1599</v>
      </c>
      <c r="E19">
        <v>1450</v>
      </c>
    </row>
    <row r="20" spans="1:5" x14ac:dyDescent="0.3">
      <c r="A20" s="13">
        <v>43950</v>
      </c>
      <c r="B20" t="s">
        <v>22</v>
      </c>
      <c r="C20">
        <v>54</v>
      </c>
      <c r="D20">
        <v>12747</v>
      </c>
      <c r="E20">
        <v>11884</v>
      </c>
    </row>
    <row r="21" spans="1:5" x14ac:dyDescent="0.3">
      <c r="A21" s="13">
        <v>43950</v>
      </c>
      <c r="B21" t="s">
        <v>21</v>
      </c>
      <c r="C21">
        <v>59</v>
      </c>
      <c r="D21">
        <v>13186</v>
      </c>
      <c r="E21">
        <v>12251</v>
      </c>
    </row>
    <row r="22" spans="1:5" x14ac:dyDescent="0.3">
      <c r="A22" s="13">
        <v>43950</v>
      </c>
      <c r="B22" t="s">
        <v>13</v>
      </c>
      <c r="C22">
        <v>18</v>
      </c>
      <c r="D22">
        <v>1534</v>
      </c>
      <c r="E22">
        <v>1369</v>
      </c>
    </row>
    <row r="23" spans="1:5" x14ac:dyDescent="0.3">
      <c r="A23" s="13">
        <v>43950</v>
      </c>
      <c r="B23" t="s">
        <v>23</v>
      </c>
      <c r="C23">
        <v>15</v>
      </c>
      <c r="D23">
        <v>659</v>
      </c>
      <c r="E23">
        <v>575</v>
      </c>
    </row>
    <row r="24" spans="1:5" x14ac:dyDescent="0.3">
      <c r="A24" s="13">
        <v>43950</v>
      </c>
      <c r="B24" t="s">
        <v>18</v>
      </c>
      <c r="C24">
        <v>15</v>
      </c>
      <c r="D24">
        <v>786</v>
      </c>
      <c r="E24">
        <v>695</v>
      </c>
    </row>
    <row r="25" spans="1:5" x14ac:dyDescent="0.3">
      <c r="A25" s="13">
        <v>43950</v>
      </c>
      <c r="B25" t="s">
        <v>15</v>
      </c>
      <c r="C25">
        <v>125</v>
      </c>
      <c r="D25">
        <v>21863</v>
      </c>
      <c r="E25">
        <v>20160</v>
      </c>
    </row>
    <row r="26" spans="1:5" x14ac:dyDescent="0.3">
      <c r="A26" s="13">
        <v>43950</v>
      </c>
      <c r="B26" t="s">
        <v>14</v>
      </c>
      <c r="C26">
        <v>128</v>
      </c>
      <c r="D26">
        <v>17368</v>
      </c>
      <c r="E26">
        <v>16077</v>
      </c>
    </row>
    <row r="27" spans="1:5" x14ac:dyDescent="0.3">
      <c r="A27" s="13">
        <v>43950</v>
      </c>
      <c r="B27" t="s">
        <v>12</v>
      </c>
      <c r="C27">
        <v>10</v>
      </c>
      <c r="D27">
        <v>502</v>
      </c>
      <c r="E27">
        <v>433</v>
      </c>
    </row>
    <row r="28" spans="1:5" x14ac:dyDescent="0.3">
      <c r="A28" s="13">
        <v>43951</v>
      </c>
      <c r="B28" t="s">
        <v>16</v>
      </c>
      <c r="C28">
        <v>36</v>
      </c>
      <c r="D28">
        <v>5143</v>
      </c>
      <c r="E28">
        <v>4715</v>
      </c>
    </row>
    <row r="29" spans="1:5" x14ac:dyDescent="0.3">
      <c r="A29" s="13">
        <v>43951</v>
      </c>
      <c r="B29" t="s">
        <v>11</v>
      </c>
      <c r="C29">
        <v>31</v>
      </c>
      <c r="D29">
        <v>5120</v>
      </c>
      <c r="E29">
        <v>4737</v>
      </c>
    </row>
    <row r="30" spans="1:5" x14ac:dyDescent="0.3">
      <c r="A30" s="13">
        <v>43951</v>
      </c>
      <c r="B30" t="s">
        <v>17</v>
      </c>
      <c r="C30">
        <v>20</v>
      </c>
      <c r="D30">
        <v>1756</v>
      </c>
      <c r="E30">
        <v>1586</v>
      </c>
    </row>
    <row r="31" spans="1:5" x14ac:dyDescent="0.3">
      <c r="A31" s="13">
        <v>43951</v>
      </c>
      <c r="B31" t="s">
        <v>10</v>
      </c>
      <c r="C31">
        <v>19</v>
      </c>
      <c r="D31">
        <v>1712</v>
      </c>
      <c r="E31">
        <v>1552</v>
      </c>
    </row>
    <row r="32" spans="1:5" x14ac:dyDescent="0.3">
      <c r="A32" s="13">
        <v>43951</v>
      </c>
      <c r="B32" t="s">
        <v>20</v>
      </c>
      <c r="C32">
        <v>19</v>
      </c>
      <c r="D32">
        <v>1662</v>
      </c>
      <c r="E32">
        <v>1506</v>
      </c>
    </row>
    <row r="33" spans="1:5" x14ac:dyDescent="0.3">
      <c r="A33" s="13">
        <v>43951</v>
      </c>
      <c r="B33" t="s">
        <v>22</v>
      </c>
      <c r="C33">
        <v>54</v>
      </c>
      <c r="D33">
        <v>12817</v>
      </c>
      <c r="E33">
        <v>11865</v>
      </c>
    </row>
    <row r="34" spans="1:5" x14ac:dyDescent="0.3">
      <c r="A34" s="13">
        <v>43951</v>
      </c>
      <c r="B34" t="s">
        <v>21</v>
      </c>
      <c r="C34">
        <v>59</v>
      </c>
      <c r="D34">
        <v>13251</v>
      </c>
      <c r="E34">
        <v>12255</v>
      </c>
    </row>
    <row r="35" spans="1:5" x14ac:dyDescent="0.3">
      <c r="A35" s="13">
        <v>43951</v>
      </c>
      <c r="B35" t="s">
        <v>13</v>
      </c>
      <c r="C35">
        <v>19</v>
      </c>
      <c r="D35">
        <v>1499</v>
      </c>
      <c r="E35">
        <v>1322</v>
      </c>
    </row>
    <row r="36" spans="1:5" x14ac:dyDescent="0.3">
      <c r="A36" s="13">
        <v>43951</v>
      </c>
      <c r="B36" t="s">
        <v>23</v>
      </c>
      <c r="C36">
        <v>15</v>
      </c>
      <c r="D36">
        <v>644</v>
      </c>
      <c r="E36">
        <v>550</v>
      </c>
    </row>
    <row r="37" spans="1:5" x14ac:dyDescent="0.3">
      <c r="A37" s="13">
        <v>43951</v>
      </c>
      <c r="B37" t="s">
        <v>18</v>
      </c>
      <c r="C37">
        <v>15</v>
      </c>
      <c r="D37">
        <v>791</v>
      </c>
      <c r="E37">
        <v>691</v>
      </c>
    </row>
    <row r="38" spans="1:5" x14ac:dyDescent="0.3">
      <c r="A38" s="13">
        <v>43951</v>
      </c>
      <c r="B38" t="s">
        <v>19</v>
      </c>
      <c r="C38">
        <v>15</v>
      </c>
      <c r="D38">
        <v>262</v>
      </c>
      <c r="E38">
        <v>195</v>
      </c>
    </row>
    <row r="39" spans="1:5" x14ac:dyDescent="0.3">
      <c r="A39" s="13">
        <v>43951</v>
      </c>
      <c r="B39" t="s">
        <v>15</v>
      </c>
      <c r="C39">
        <v>125</v>
      </c>
      <c r="D39">
        <v>22368</v>
      </c>
      <c r="E39">
        <v>20625</v>
      </c>
    </row>
    <row r="40" spans="1:5" x14ac:dyDescent="0.3">
      <c r="A40" s="13">
        <v>43951</v>
      </c>
      <c r="B40" t="s">
        <v>14</v>
      </c>
      <c r="C40">
        <v>129</v>
      </c>
      <c r="D40">
        <v>18042</v>
      </c>
      <c r="E40">
        <v>16631</v>
      </c>
    </row>
    <row r="41" spans="1:5" x14ac:dyDescent="0.3">
      <c r="A41" s="13">
        <v>43951</v>
      </c>
      <c r="B41" t="s">
        <v>12</v>
      </c>
      <c r="C41">
        <v>10</v>
      </c>
      <c r="D41">
        <v>448</v>
      </c>
      <c r="E41">
        <v>376</v>
      </c>
    </row>
    <row r="42" spans="1:5" x14ac:dyDescent="0.3">
      <c r="A42" s="13">
        <v>43952</v>
      </c>
      <c r="B42" t="s">
        <v>16</v>
      </c>
      <c r="C42">
        <v>36</v>
      </c>
      <c r="D42">
        <v>5457</v>
      </c>
      <c r="E42">
        <v>4916</v>
      </c>
    </row>
    <row r="43" spans="1:5" x14ac:dyDescent="0.3">
      <c r="A43" s="13">
        <v>43952</v>
      </c>
      <c r="B43" t="s">
        <v>11</v>
      </c>
      <c r="C43">
        <v>31</v>
      </c>
      <c r="D43">
        <v>6118</v>
      </c>
      <c r="E43">
        <v>5564</v>
      </c>
    </row>
    <row r="44" spans="1:5" x14ac:dyDescent="0.3">
      <c r="A44" s="13">
        <v>43952</v>
      </c>
      <c r="B44" t="s">
        <v>17</v>
      </c>
      <c r="C44">
        <v>20</v>
      </c>
      <c r="D44">
        <v>2468</v>
      </c>
      <c r="E44">
        <v>2221</v>
      </c>
    </row>
    <row r="45" spans="1:5" x14ac:dyDescent="0.3">
      <c r="A45" s="13">
        <v>43952</v>
      </c>
      <c r="B45" t="s">
        <v>10</v>
      </c>
      <c r="C45">
        <v>18</v>
      </c>
      <c r="D45">
        <v>1826</v>
      </c>
      <c r="E45">
        <v>1633</v>
      </c>
    </row>
    <row r="46" spans="1:5" x14ac:dyDescent="0.3">
      <c r="A46" s="13">
        <v>43952</v>
      </c>
      <c r="B46" t="s">
        <v>20</v>
      </c>
      <c r="C46">
        <v>19</v>
      </c>
      <c r="D46">
        <v>1987</v>
      </c>
      <c r="E46">
        <v>1791</v>
      </c>
    </row>
    <row r="47" spans="1:5" x14ac:dyDescent="0.3">
      <c r="A47" s="13">
        <v>43952</v>
      </c>
      <c r="B47" t="s">
        <v>22</v>
      </c>
      <c r="C47">
        <v>54</v>
      </c>
      <c r="D47">
        <v>14205</v>
      </c>
      <c r="E47">
        <v>13026</v>
      </c>
    </row>
    <row r="48" spans="1:5" x14ac:dyDescent="0.3">
      <c r="A48" s="13">
        <v>43952</v>
      </c>
      <c r="B48" t="s">
        <v>21</v>
      </c>
      <c r="C48">
        <v>59</v>
      </c>
      <c r="D48">
        <v>15222</v>
      </c>
      <c r="E48">
        <v>13873</v>
      </c>
    </row>
    <row r="49" spans="1:5" x14ac:dyDescent="0.3">
      <c r="A49" s="13">
        <v>43952</v>
      </c>
      <c r="B49" t="s">
        <v>13</v>
      </c>
      <c r="C49">
        <v>19</v>
      </c>
      <c r="D49">
        <v>1497</v>
      </c>
      <c r="E49">
        <v>1291</v>
      </c>
    </row>
    <row r="50" spans="1:5" x14ac:dyDescent="0.3">
      <c r="A50" s="13">
        <v>43952</v>
      </c>
      <c r="B50" t="s">
        <v>23</v>
      </c>
      <c r="C50">
        <v>15</v>
      </c>
      <c r="D50">
        <v>721</v>
      </c>
      <c r="E50">
        <v>625</v>
      </c>
    </row>
    <row r="51" spans="1:5" x14ac:dyDescent="0.3">
      <c r="A51" s="13">
        <v>43952</v>
      </c>
      <c r="B51" t="s">
        <v>18</v>
      </c>
      <c r="C51">
        <v>15</v>
      </c>
      <c r="D51">
        <v>996</v>
      </c>
      <c r="E51">
        <v>888</v>
      </c>
    </row>
    <row r="52" spans="1:5" x14ac:dyDescent="0.3">
      <c r="A52" s="13">
        <v>43952</v>
      </c>
      <c r="B52" t="s">
        <v>19</v>
      </c>
      <c r="C52">
        <v>15</v>
      </c>
      <c r="D52">
        <v>294</v>
      </c>
      <c r="E52">
        <v>225</v>
      </c>
    </row>
    <row r="53" spans="1:5" x14ac:dyDescent="0.3">
      <c r="A53" s="13">
        <v>43952</v>
      </c>
      <c r="B53" t="s">
        <v>15</v>
      </c>
      <c r="C53">
        <v>125</v>
      </c>
      <c r="D53">
        <v>20602</v>
      </c>
      <c r="E53">
        <v>18845</v>
      </c>
    </row>
    <row r="54" spans="1:5" x14ac:dyDescent="0.3">
      <c r="A54" s="13">
        <v>43952</v>
      </c>
      <c r="B54" t="s">
        <v>14</v>
      </c>
      <c r="C54">
        <v>129</v>
      </c>
      <c r="D54">
        <v>17002</v>
      </c>
      <c r="E54">
        <v>15570</v>
      </c>
    </row>
    <row r="55" spans="1:5" x14ac:dyDescent="0.3">
      <c r="A55" s="13">
        <v>43952</v>
      </c>
      <c r="B55" t="s">
        <v>12</v>
      </c>
      <c r="C55">
        <v>10</v>
      </c>
      <c r="D55">
        <v>554</v>
      </c>
      <c r="E55">
        <v>472</v>
      </c>
    </row>
    <row r="56" spans="1:5" x14ac:dyDescent="0.3">
      <c r="A56" s="13">
        <v>43953</v>
      </c>
      <c r="B56" t="s">
        <v>16</v>
      </c>
      <c r="C56">
        <v>36</v>
      </c>
      <c r="D56">
        <v>3442</v>
      </c>
      <c r="E56">
        <v>3147</v>
      </c>
    </row>
    <row r="57" spans="1:5" x14ac:dyDescent="0.3">
      <c r="A57" s="13">
        <v>43953</v>
      </c>
      <c r="B57" t="s">
        <v>11</v>
      </c>
      <c r="C57">
        <v>31</v>
      </c>
      <c r="D57">
        <v>4157</v>
      </c>
      <c r="E57">
        <v>3823</v>
      </c>
    </row>
    <row r="58" spans="1:5" x14ac:dyDescent="0.3">
      <c r="A58" s="13">
        <v>43953</v>
      </c>
      <c r="B58" t="s">
        <v>17</v>
      </c>
      <c r="C58">
        <v>20</v>
      </c>
      <c r="D58">
        <v>1613</v>
      </c>
      <c r="E58">
        <v>1457</v>
      </c>
    </row>
    <row r="59" spans="1:5" x14ac:dyDescent="0.3">
      <c r="A59" s="13">
        <v>43953</v>
      </c>
      <c r="B59" t="s">
        <v>10</v>
      </c>
      <c r="C59">
        <v>18</v>
      </c>
      <c r="D59">
        <v>1708</v>
      </c>
      <c r="E59">
        <v>1534</v>
      </c>
    </row>
    <row r="60" spans="1:5" x14ac:dyDescent="0.3">
      <c r="A60" s="13">
        <v>43953</v>
      </c>
      <c r="B60" t="s">
        <v>20</v>
      </c>
      <c r="C60">
        <v>19</v>
      </c>
      <c r="D60">
        <v>1206</v>
      </c>
      <c r="E60">
        <v>1080</v>
      </c>
    </row>
    <row r="61" spans="1:5" x14ac:dyDescent="0.3">
      <c r="A61" s="13">
        <v>43953</v>
      </c>
      <c r="B61" t="s">
        <v>22</v>
      </c>
      <c r="C61">
        <v>54</v>
      </c>
      <c r="D61">
        <v>11622</v>
      </c>
      <c r="E61">
        <v>10754</v>
      </c>
    </row>
    <row r="62" spans="1:5" x14ac:dyDescent="0.3">
      <c r="A62" s="13">
        <v>43953</v>
      </c>
      <c r="B62" t="s">
        <v>21</v>
      </c>
      <c r="C62">
        <v>59</v>
      </c>
      <c r="D62">
        <v>12429</v>
      </c>
      <c r="E62">
        <v>11477</v>
      </c>
    </row>
    <row r="63" spans="1:5" x14ac:dyDescent="0.3">
      <c r="A63" s="13">
        <v>43953</v>
      </c>
      <c r="B63" t="s">
        <v>13</v>
      </c>
      <c r="C63">
        <v>19</v>
      </c>
      <c r="D63">
        <v>1217</v>
      </c>
      <c r="E63">
        <v>1048</v>
      </c>
    </row>
    <row r="64" spans="1:5" x14ac:dyDescent="0.3">
      <c r="A64" s="13">
        <v>43953</v>
      </c>
      <c r="B64" t="s">
        <v>23</v>
      </c>
      <c r="C64">
        <v>15</v>
      </c>
      <c r="D64">
        <v>567</v>
      </c>
      <c r="E64">
        <v>493</v>
      </c>
    </row>
    <row r="65" spans="1:5" x14ac:dyDescent="0.3">
      <c r="A65" s="13">
        <v>43953</v>
      </c>
      <c r="B65" t="s">
        <v>18</v>
      </c>
      <c r="C65">
        <v>15</v>
      </c>
      <c r="D65">
        <v>751</v>
      </c>
      <c r="E65">
        <v>651</v>
      </c>
    </row>
    <row r="66" spans="1:5" x14ac:dyDescent="0.3">
      <c r="A66" s="13">
        <v>43953</v>
      </c>
      <c r="B66" t="s">
        <v>19</v>
      </c>
      <c r="C66">
        <v>15</v>
      </c>
      <c r="D66">
        <v>274</v>
      </c>
      <c r="E66">
        <v>203</v>
      </c>
    </row>
    <row r="67" spans="1:5" x14ac:dyDescent="0.3">
      <c r="A67" s="13">
        <v>43953</v>
      </c>
      <c r="B67" t="s">
        <v>15</v>
      </c>
      <c r="C67">
        <v>125</v>
      </c>
      <c r="D67">
        <v>16932</v>
      </c>
      <c r="E67">
        <v>15601</v>
      </c>
    </row>
    <row r="68" spans="1:5" x14ac:dyDescent="0.3">
      <c r="A68" s="13">
        <v>43953</v>
      </c>
      <c r="B68" t="s">
        <v>14</v>
      </c>
      <c r="C68">
        <v>129</v>
      </c>
      <c r="D68">
        <v>14009</v>
      </c>
      <c r="E68">
        <v>12920</v>
      </c>
    </row>
    <row r="69" spans="1:5" x14ac:dyDescent="0.3">
      <c r="A69" s="13">
        <v>43953</v>
      </c>
      <c r="B69" t="s">
        <v>12</v>
      </c>
      <c r="C69">
        <v>10</v>
      </c>
      <c r="D69">
        <v>416</v>
      </c>
      <c r="E69">
        <v>341</v>
      </c>
    </row>
    <row r="70" spans="1:5" x14ac:dyDescent="0.3">
      <c r="A70" s="13">
        <v>43954</v>
      </c>
      <c r="B70" t="s">
        <v>16</v>
      </c>
      <c r="C70">
        <v>36</v>
      </c>
      <c r="D70">
        <v>4751</v>
      </c>
      <c r="E70">
        <v>4370</v>
      </c>
    </row>
    <row r="71" spans="1:5" x14ac:dyDescent="0.3">
      <c r="A71" s="13">
        <v>43954</v>
      </c>
      <c r="B71" t="s">
        <v>11</v>
      </c>
      <c r="C71">
        <v>31</v>
      </c>
      <c r="D71">
        <v>5155</v>
      </c>
      <c r="E71">
        <v>4762</v>
      </c>
    </row>
    <row r="72" spans="1:5" x14ac:dyDescent="0.3">
      <c r="A72" s="13">
        <v>43954</v>
      </c>
      <c r="B72" t="s">
        <v>17</v>
      </c>
      <c r="C72">
        <v>20</v>
      </c>
      <c r="D72">
        <v>1716</v>
      </c>
      <c r="E72">
        <v>1561</v>
      </c>
    </row>
    <row r="73" spans="1:5" x14ac:dyDescent="0.3">
      <c r="A73" s="13">
        <v>43954</v>
      </c>
      <c r="B73" t="s">
        <v>10</v>
      </c>
      <c r="C73">
        <v>20</v>
      </c>
      <c r="D73">
        <v>1520</v>
      </c>
      <c r="E73">
        <v>1373</v>
      </c>
    </row>
    <row r="74" spans="1:5" x14ac:dyDescent="0.3">
      <c r="A74" s="13">
        <v>43954</v>
      </c>
      <c r="B74" t="s">
        <v>20</v>
      </c>
      <c r="C74">
        <v>19</v>
      </c>
      <c r="D74">
        <v>1314</v>
      </c>
      <c r="E74">
        <v>1192</v>
      </c>
    </row>
    <row r="75" spans="1:5" x14ac:dyDescent="0.3">
      <c r="A75" s="13">
        <v>43954</v>
      </c>
      <c r="B75" t="s">
        <v>22</v>
      </c>
      <c r="C75">
        <v>54</v>
      </c>
      <c r="D75">
        <v>14823</v>
      </c>
      <c r="E75">
        <v>13751</v>
      </c>
    </row>
    <row r="76" spans="1:5" x14ac:dyDescent="0.3">
      <c r="A76" s="13">
        <v>43954</v>
      </c>
      <c r="B76" t="s">
        <v>21</v>
      </c>
      <c r="C76">
        <v>59</v>
      </c>
      <c r="D76">
        <v>15277</v>
      </c>
      <c r="E76">
        <v>14163</v>
      </c>
    </row>
    <row r="77" spans="1:5" x14ac:dyDescent="0.3">
      <c r="A77" s="13">
        <v>43954</v>
      </c>
      <c r="B77" t="s">
        <v>13</v>
      </c>
      <c r="C77">
        <v>19</v>
      </c>
      <c r="D77">
        <v>1402</v>
      </c>
      <c r="E77">
        <v>1234</v>
      </c>
    </row>
    <row r="78" spans="1:5" x14ac:dyDescent="0.3">
      <c r="A78" s="13">
        <v>43954</v>
      </c>
      <c r="B78" t="s">
        <v>23</v>
      </c>
      <c r="C78">
        <v>15</v>
      </c>
      <c r="D78">
        <v>585</v>
      </c>
      <c r="E78">
        <v>502</v>
      </c>
    </row>
    <row r="79" spans="1:5" x14ac:dyDescent="0.3">
      <c r="A79" s="13">
        <v>43954</v>
      </c>
      <c r="B79" t="s">
        <v>18</v>
      </c>
      <c r="C79">
        <v>15</v>
      </c>
      <c r="D79">
        <v>784</v>
      </c>
      <c r="E79">
        <v>696</v>
      </c>
    </row>
    <row r="80" spans="1:5" x14ac:dyDescent="0.3">
      <c r="A80" s="13">
        <v>43954</v>
      </c>
      <c r="B80" t="s">
        <v>19</v>
      </c>
      <c r="C80">
        <v>15</v>
      </c>
      <c r="D80">
        <v>455</v>
      </c>
      <c r="E80">
        <v>384</v>
      </c>
    </row>
    <row r="81" spans="1:5" x14ac:dyDescent="0.3">
      <c r="A81" s="13">
        <v>43954</v>
      </c>
      <c r="B81" t="s">
        <v>15</v>
      </c>
      <c r="C81">
        <v>125</v>
      </c>
      <c r="D81">
        <v>18861</v>
      </c>
      <c r="E81">
        <v>17420</v>
      </c>
    </row>
    <row r="82" spans="1:5" x14ac:dyDescent="0.3">
      <c r="A82" s="13">
        <v>43954</v>
      </c>
      <c r="B82" t="s">
        <v>14</v>
      </c>
      <c r="C82">
        <v>129</v>
      </c>
      <c r="D82">
        <v>15778</v>
      </c>
      <c r="E82">
        <v>14624</v>
      </c>
    </row>
    <row r="83" spans="1:5" x14ac:dyDescent="0.3">
      <c r="A83" s="13">
        <v>43954</v>
      </c>
      <c r="B83" t="s">
        <v>12</v>
      </c>
      <c r="C83">
        <v>10</v>
      </c>
      <c r="D83">
        <v>402</v>
      </c>
      <c r="E83">
        <v>333</v>
      </c>
    </row>
    <row r="84" spans="1:5" x14ac:dyDescent="0.3">
      <c r="A84" s="13">
        <v>43955</v>
      </c>
      <c r="B84" t="s">
        <v>16</v>
      </c>
      <c r="C84">
        <v>36</v>
      </c>
      <c r="D84">
        <v>4508</v>
      </c>
      <c r="E84">
        <v>4149</v>
      </c>
    </row>
    <row r="85" spans="1:5" x14ac:dyDescent="0.3">
      <c r="A85" s="13">
        <v>43955</v>
      </c>
      <c r="B85" t="s">
        <v>11</v>
      </c>
      <c r="C85">
        <v>31</v>
      </c>
      <c r="D85">
        <v>4968</v>
      </c>
      <c r="E85">
        <v>4596</v>
      </c>
    </row>
    <row r="86" spans="1:5" x14ac:dyDescent="0.3">
      <c r="A86" s="13">
        <v>43955</v>
      </c>
      <c r="B86" t="s">
        <v>17</v>
      </c>
      <c r="C86">
        <v>20</v>
      </c>
      <c r="D86">
        <v>1804</v>
      </c>
      <c r="E86">
        <v>1638</v>
      </c>
    </row>
    <row r="87" spans="1:5" x14ac:dyDescent="0.3">
      <c r="A87" s="13">
        <v>43955</v>
      </c>
      <c r="B87" t="s">
        <v>10</v>
      </c>
      <c r="C87">
        <v>20</v>
      </c>
      <c r="D87">
        <v>1519</v>
      </c>
      <c r="E87">
        <v>1372</v>
      </c>
    </row>
    <row r="88" spans="1:5" x14ac:dyDescent="0.3">
      <c r="A88" s="13">
        <v>43955</v>
      </c>
      <c r="B88" t="s">
        <v>20</v>
      </c>
      <c r="C88">
        <v>19</v>
      </c>
      <c r="D88">
        <v>1479</v>
      </c>
      <c r="E88">
        <v>1346</v>
      </c>
    </row>
    <row r="89" spans="1:5" x14ac:dyDescent="0.3">
      <c r="A89" s="13">
        <v>43955</v>
      </c>
      <c r="B89" t="s">
        <v>22</v>
      </c>
      <c r="C89">
        <v>54</v>
      </c>
      <c r="D89">
        <v>13606</v>
      </c>
      <c r="E89">
        <v>12697</v>
      </c>
    </row>
    <row r="90" spans="1:5" x14ac:dyDescent="0.3">
      <c r="A90" s="13">
        <v>43955</v>
      </c>
      <c r="B90" t="s">
        <v>21</v>
      </c>
      <c r="C90">
        <v>59</v>
      </c>
      <c r="D90">
        <v>14423</v>
      </c>
      <c r="E90">
        <v>13432</v>
      </c>
    </row>
    <row r="91" spans="1:5" x14ac:dyDescent="0.3">
      <c r="A91" s="13">
        <v>43955</v>
      </c>
      <c r="B91" t="s">
        <v>13</v>
      </c>
      <c r="C91">
        <v>19</v>
      </c>
      <c r="D91">
        <v>1582</v>
      </c>
      <c r="E91">
        <v>1403</v>
      </c>
    </row>
    <row r="92" spans="1:5" x14ac:dyDescent="0.3">
      <c r="A92" s="13">
        <v>43955</v>
      </c>
      <c r="B92" t="s">
        <v>23</v>
      </c>
      <c r="C92">
        <v>15</v>
      </c>
      <c r="D92">
        <v>622</v>
      </c>
      <c r="E92">
        <v>538</v>
      </c>
    </row>
    <row r="93" spans="1:5" x14ac:dyDescent="0.3">
      <c r="A93" s="13">
        <v>43955</v>
      </c>
      <c r="B93" t="s">
        <v>18</v>
      </c>
      <c r="C93">
        <v>15</v>
      </c>
      <c r="D93">
        <v>750</v>
      </c>
      <c r="E93">
        <v>647</v>
      </c>
    </row>
    <row r="94" spans="1:5" x14ac:dyDescent="0.3">
      <c r="A94" s="13">
        <v>43955</v>
      </c>
      <c r="B94" t="s">
        <v>19</v>
      </c>
      <c r="C94">
        <v>15</v>
      </c>
      <c r="D94">
        <v>390</v>
      </c>
      <c r="E94">
        <v>315</v>
      </c>
    </row>
    <row r="95" spans="1:5" x14ac:dyDescent="0.3">
      <c r="A95" s="13">
        <v>43955</v>
      </c>
      <c r="B95" t="s">
        <v>15</v>
      </c>
      <c r="C95">
        <v>125</v>
      </c>
      <c r="D95">
        <v>20495</v>
      </c>
      <c r="E95">
        <v>18964</v>
      </c>
    </row>
    <row r="96" spans="1:5" x14ac:dyDescent="0.3">
      <c r="A96" s="13">
        <v>43955</v>
      </c>
      <c r="B96" t="s">
        <v>14</v>
      </c>
      <c r="C96">
        <v>129</v>
      </c>
      <c r="D96">
        <v>16525</v>
      </c>
      <c r="E96">
        <v>15310</v>
      </c>
    </row>
    <row r="97" spans="1:5" x14ac:dyDescent="0.3">
      <c r="A97" s="13">
        <v>43955</v>
      </c>
      <c r="B97" t="s">
        <v>12</v>
      </c>
      <c r="C97">
        <v>10</v>
      </c>
      <c r="D97">
        <v>462</v>
      </c>
      <c r="E97">
        <v>396</v>
      </c>
    </row>
    <row r="98" spans="1:5" x14ac:dyDescent="0.3">
      <c r="A98" s="13">
        <v>43956</v>
      </c>
      <c r="B98" t="s">
        <v>16</v>
      </c>
      <c r="C98">
        <v>36</v>
      </c>
      <c r="D98">
        <v>4575</v>
      </c>
      <c r="E98">
        <v>4206</v>
      </c>
    </row>
    <row r="99" spans="1:5" x14ac:dyDescent="0.3">
      <c r="A99" s="13">
        <v>43956</v>
      </c>
      <c r="B99" t="s">
        <v>11</v>
      </c>
      <c r="C99">
        <v>31</v>
      </c>
      <c r="D99">
        <v>5188</v>
      </c>
      <c r="E99">
        <v>4800</v>
      </c>
    </row>
    <row r="100" spans="1:5" x14ac:dyDescent="0.3">
      <c r="A100" s="13">
        <v>43956</v>
      </c>
      <c r="B100" t="s">
        <v>17</v>
      </c>
      <c r="C100">
        <v>20</v>
      </c>
      <c r="D100">
        <v>1757</v>
      </c>
      <c r="E100">
        <v>1596</v>
      </c>
    </row>
    <row r="101" spans="1:5" x14ac:dyDescent="0.3">
      <c r="A101" s="13">
        <v>43956</v>
      </c>
      <c r="B101" t="s">
        <v>10</v>
      </c>
      <c r="C101">
        <v>20</v>
      </c>
      <c r="D101">
        <v>1773</v>
      </c>
      <c r="E101">
        <v>1604</v>
      </c>
    </row>
    <row r="102" spans="1:5" x14ac:dyDescent="0.3">
      <c r="A102" s="13">
        <v>43956</v>
      </c>
      <c r="B102" t="s">
        <v>20</v>
      </c>
      <c r="C102">
        <v>19</v>
      </c>
      <c r="D102">
        <v>1622</v>
      </c>
      <c r="E102">
        <v>1482</v>
      </c>
    </row>
    <row r="103" spans="1:5" x14ac:dyDescent="0.3">
      <c r="A103" s="13">
        <v>43956</v>
      </c>
      <c r="B103" t="s">
        <v>22</v>
      </c>
      <c r="C103">
        <v>54</v>
      </c>
      <c r="D103">
        <v>12775</v>
      </c>
      <c r="E103">
        <v>11887</v>
      </c>
    </row>
    <row r="104" spans="1:5" x14ac:dyDescent="0.3">
      <c r="A104" s="13">
        <v>43956</v>
      </c>
      <c r="B104" t="s">
        <v>21</v>
      </c>
      <c r="C104">
        <v>59</v>
      </c>
      <c r="D104">
        <v>13469</v>
      </c>
      <c r="E104">
        <v>12486</v>
      </c>
    </row>
    <row r="105" spans="1:5" x14ac:dyDescent="0.3">
      <c r="A105" s="13">
        <v>43956</v>
      </c>
      <c r="B105" t="s">
        <v>13</v>
      </c>
      <c r="C105">
        <v>19</v>
      </c>
      <c r="D105">
        <v>1417</v>
      </c>
      <c r="E105">
        <v>1245</v>
      </c>
    </row>
    <row r="106" spans="1:5" x14ac:dyDescent="0.3">
      <c r="A106" s="13">
        <v>43956</v>
      </c>
      <c r="B106" t="s">
        <v>23</v>
      </c>
      <c r="C106">
        <v>15</v>
      </c>
      <c r="D106">
        <v>750</v>
      </c>
      <c r="E106">
        <v>658</v>
      </c>
    </row>
    <row r="107" spans="1:5" x14ac:dyDescent="0.3">
      <c r="A107" s="13">
        <v>43956</v>
      </c>
      <c r="B107" t="s">
        <v>18</v>
      </c>
      <c r="C107">
        <v>15</v>
      </c>
      <c r="D107">
        <v>922</v>
      </c>
      <c r="E107">
        <v>823</v>
      </c>
    </row>
    <row r="108" spans="1:5" x14ac:dyDescent="0.3">
      <c r="A108" s="13">
        <v>43956</v>
      </c>
      <c r="B108" t="s">
        <v>19</v>
      </c>
      <c r="C108">
        <v>15</v>
      </c>
      <c r="D108">
        <v>455</v>
      </c>
      <c r="E108">
        <v>381</v>
      </c>
    </row>
    <row r="109" spans="1:5" x14ac:dyDescent="0.3">
      <c r="A109" s="13">
        <v>43956</v>
      </c>
      <c r="B109" t="s">
        <v>15</v>
      </c>
      <c r="C109">
        <v>125</v>
      </c>
      <c r="D109">
        <v>18944</v>
      </c>
      <c r="E109">
        <v>17541</v>
      </c>
    </row>
    <row r="110" spans="1:5" x14ac:dyDescent="0.3">
      <c r="A110" s="13">
        <v>43956</v>
      </c>
      <c r="B110" t="s">
        <v>14</v>
      </c>
      <c r="C110">
        <v>129</v>
      </c>
      <c r="D110">
        <v>15665</v>
      </c>
      <c r="E110">
        <v>14501</v>
      </c>
    </row>
    <row r="111" spans="1:5" x14ac:dyDescent="0.3">
      <c r="A111" s="13">
        <v>43956</v>
      </c>
      <c r="B111" t="s">
        <v>12</v>
      </c>
      <c r="C111">
        <v>10</v>
      </c>
      <c r="D111">
        <v>511</v>
      </c>
      <c r="E111">
        <v>437</v>
      </c>
    </row>
    <row r="112" spans="1:5" x14ac:dyDescent="0.3">
      <c r="A112" s="13">
        <v>43957</v>
      </c>
      <c r="B112" t="s">
        <v>16</v>
      </c>
      <c r="C112">
        <v>36</v>
      </c>
      <c r="D112">
        <v>4384</v>
      </c>
      <c r="E112">
        <v>4025</v>
      </c>
    </row>
    <row r="113" spans="1:5" x14ac:dyDescent="0.3">
      <c r="A113" s="13">
        <v>43957</v>
      </c>
      <c r="B113" t="s">
        <v>11</v>
      </c>
      <c r="C113">
        <v>31</v>
      </c>
      <c r="D113">
        <v>4709</v>
      </c>
      <c r="E113">
        <v>4348</v>
      </c>
    </row>
    <row r="114" spans="1:5" x14ac:dyDescent="0.3">
      <c r="A114" s="13">
        <v>43957</v>
      </c>
      <c r="B114" t="s">
        <v>17</v>
      </c>
      <c r="C114">
        <v>20</v>
      </c>
      <c r="D114">
        <v>1747</v>
      </c>
      <c r="E114">
        <v>1570</v>
      </c>
    </row>
    <row r="115" spans="1:5" x14ac:dyDescent="0.3">
      <c r="A115" s="13">
        <v>43957</v>
      </c>
      <c r="B115" t="s">
        <v>10</v>
      </c>
      <c r="C115">
        <v>20</v>
      </c>
      <c r="D115">
        <v>1784</v>
      </c>
      <c r="E115">
        <v>1632</v>
      </c>
    </row>
    <row r="116" spans="1:5" x14ac:dyDescent="0.3">
      <c r="A116" s="13">
        <v>43957</v>
      </c>
      <c r="B116" t="s">
        <v>20</v>
      </c>
      <c r="C116">
        <v>19</v>
      </c>
      <c r="D116">
        <v>1509</v>
      </c>
      <c r="E116">
        <v>1374</v>
      </c>
    </row>
    <row r="117" spans="1:5" x14ac:dyDescent="0.3">
      <c r="A117" s="13">
        <v>43957</v>
      </c>
      <c r="B117" t="s">
        <v>22</v>
      </c>
      <c r="C117">
        <v>54</v>
      </c>
      <c r="D117">
        <v>13406</v>
      </c>
      <c r="E117">
        <v>12518</v>
      </c>
    </row>
    <row r="118" spans="1:5" x14ac:dyDescent="0.3">
      <c r="A118" s="13">
        <v>43957</v>
      </c>
      <c r="B118" t="s">
        <v>21</v>
      </c>
      <c r="C118">
        <v>59</v>
      </c>
      <c r="D118">
        <v>14103</v>
      </c>
      <c r="E118">
        <v>13118</v>
      </c>
    </row>
    <row r="119" spans="1:5" x14ac:dyDescent="0.3">
      <c r="A119" s="13">
        <v>43957</v>
      </c>
      <c r="B119" t="s">
        <v>13</v>
      </c>
      <c r="C119">
        <v>19</v>
      </c>
      <c r="D119">
        <v>1499</v>
      </c>
      <c r="E119">
        <v>1323</v>
      </c>
    </row>
    <row r="120" spans="1:5" x14ac:dyDescent="0.3">
      <c r="A120" s="13">
        <v>43957</v>
      </c>
      <c r="B120" t="s">
        <v>23</v>
      </c>
      <c r="C120">
        <v>15</v>
      </c>
      <c r="D120">
        <v>701</v>
      </c>
      <c r="E120">
        <v>611</v>
      </c>
    </row>
    <row r="121" spans="1:5" x14ac:dyDescent="0.3">
      <c r="A121" s="13">
        <v>43957</v>
      </c>
      <c r="B121" t="s">
        <v>18</v>
      </c>
      <c r="C121">
        <v>15</v>
      </c>
      <c r="D121">
        <v>839</v>
      </c>
      <c r="E121">
        <v>733</v>
      </c>
    </row>
    <row r="122" spans="1:5" x14ac:dyDescent="0.3">
      <c r="A122" s="13">
        <v>43957</v>
      </c>
      <c r="B122" t="s">
        <v>19</v>
      </c>
      <c r="C122">
        <v>15</v>
      </c>
      <c r="D122">
        <v>467</v>
      </c>
      <c r="E122">
        <v>389</v>
      </c>
    </row>
    <row r="123" spans="1:5" x14ac:dyDescent="0.3">
      <c r="A123" s="13">
        <v>43957</v>
      </c>
      <c r="B123" t="s">
        <v>15</v>
      </c>
      <c r="C123">
        <v>125</v>
      </c>
      <c r="D123">
        <v>20218</v>
      </c>
      <c r="E123">
        <v>18647</v>
      </c>
    </row>
    <row r="124" spans="1:5" x14ac:dyDescent="0.3">
      <c r="A124" s="13">
        <v>43957</v>
      </c>
      <c r="B124" t="s">
        <v>14</v>
      </c>
      <c r="C124">
        <v>129</v>
      </c>
      <c r="D124">
        <v>16376</v>
      </c>
      <c r="E124">
        <v>15197</v>
      </c>
    </row>
    <row r="125" spans="1:5" x14ac:dyDescent="0.3">
      <c r="A125" s="13">
        <v>43957</v>
      </c>
      <c r="B125" t="s">
        <v>12</v>
      </c>
      <c r="C125">
        <v>10</v>
      </c>
      <c r="D125">
        <v>465</v>
      </c>
      <c r="E125">
        <v>390</v>
      </c>
    </row>
    <row r="126" spans="1:5" x14ac:dyDescent="0.3">
      <c r="A126" s="13">
        <v>43958</v>
      </c>
      <c r="B126" t="s">
        <v>16</v>
      </c>
      <c r="C126">
        <v>36</v>
      </c>
      <c r="D126">
        <v>4826</v>
      </c>
      <c r="E126">
        <v>4426</v>
      </c>
    </row>
    <row r="127" spans="1:5" x14ac:dyDescent="0.3">
      <c r="A127" s="13">
        <v>43958</v>
      </c>
      <c r="B127" t="s">
        <v>11</v>
      </c>
      <c r="C127">
        <v>31</v>
      </c>
      <c r="D127">
        <v>4903</v>
      </c>
      <c r="E127">
        <v>4527</v>
      </c>
    </row>
    <row r="128" spans="1:5" x14ac:dyDescent="0.3">
      <c r="A128" s="13">
        <v>43958</v>
      </c>
      <c r="B128" t="s">
        <v>17</v>
      </c>
      <c r="C128">
        <v>21</v>
      </c>
      <c r="D128">
        <v>1879</v>
      </c>
      <c r="E128">
        <v>1695</v>
      </c>
    </row>
    <row r="129" spans="1:5" x14ac:dyDescent="0.3">
      <c r="A129" s="13">
        <v>43958</v>
      </c>
      <c r="B129" t="s">
        <v>10</v>
      </c>
      <c r="C129">
        <v>21</v>
      </c>
      <c r="D129">
        <v>1542</v>
      </c>
      <c r="E129">
        <v>1405</v>
      </c>
    </row>
    <row r="130" spans="1:5" x14ac:dyDescent="0.3">
      <c r="A130" s="13">
        <v>43958</v>
      </c>
      <c r="B130" t="s">
        <v>20</v>
      </c>
      <c r="C130">
        <v>19</v>
      </c>
      <c r="D130">
        <v>1580</v>
      </c>
      <c r="E130">
        <v>1435</v>
      </c>
    </row>
    <row r="131" spans="1:5" x14ac:dyDescent="0.3">
      <c r="A131" s="13">
        <v>43958</v>
      </c>
      <c r="B131" t="s">
        <v>22</v>
      </c>
      <c r="C131">
        <v>54</v>
      </c>
      <c r="D131">
        <v>12743</v>
      </c>
      <c r="E131">
        <v>11858</v>
      </c>
    </row>
    <row r="132" spans="1:5" x14ac:dyDescent="0.3">
      <c r="A132" s="13">
        <v>43958</v>
      </c>
      <c r="B132" t="s">
        <v>21</v>
      </c>
      <c r="C132">
        <v>59</v>
      </c>
      <c r="D132">
        <v>13495</v>
      </c>
      <c r="E132">
        <v>12517</v>
      </c>
    </row>
    <row r="133" spans="1:5" x14ac:dyDescent="0.3">
      <c r="A133" s="13">
        <v>43958</v>
      </c>
      <c r="B133" t="s">
        <v>13</v>
      </c>
      <c r="C133">
        <v>19</v>
      </c>
      <c r="D133">
        <v>1530</v>
      </c>
      <c r="E133">
        <v>1338</v>
      </c>
    </row>
    <row r="134" spans="1:5" x14ac:dyDescent="0.3">
      <c r="A134" s="13">
        <v>43958</v>
      </c>
      <c r="B134" t="s">
        <v>23</v>
      </c>
      <c r="C134">
        <v>15</v>
      </c>
      <c r="D134">
        <v>676</v>
      </c>
      <c r="E134">
        <v>591</v>
      </c>
    </row>
    <row r="135" spans="1:5" x14ac:dyDescent="0.3">
      <c r="A135" s="13">
        <v>43958</v>
      </c>
      <c r="B135" t="s">
        <v>18</v>
      </c>
      <c r="C135">
        <v>15</v>
      </c>
      <c r="D135">
        <v>805</v>
      </c>
      <c r="E135">
        <v>703</v>
      </c>
    </row>
    <row r="136" spans="1:5" x14ac:dyDescent="0.3">
      <c r="A136" s="13">
        <v>43958</v>
      </c>
      <c r="B136" t="s">
        <v>19</v>
      </c>
      <c r="C136">
        <v>15</v>
      </c>
      <c r="D136">
        <v>480</v>
      </c>
      <c r="E136">
        <v>398</v>
      </c>
    </row>
    <row r="137" spans="1:5" x14ac:dyDescent="0.3">
      <c r="A137" s="13">
        <v>43958</v>
      </c>
      <c r="B137" t="s">
        <v>15</v>
      </c>
      <c r="C137">
        <v>125</v>
      </c>
      <c r="D137">
        <v>18014</v>
      </c>
      <c r="E137">
        <v>16675</v>
      </c>
    </row>
    <row r="138" spans="1:5" x14ac:dyDescent="0.3">
      <c r="A138" s="13">
        <v>43958</v>
      </c>
      <c r="B138" t="s">
        <v>14</v>
      </c>
      <c r="C138">
        <v>129</v>
      </c>
      <c r="D138">
        <v>14582</v>
      </c>
      <c r="E138">
        <v>13512</v>
      </c>
    </row>
    <row r="139" spans="1:5" x14ac:dyDescent="0.3">
      <c r="A139" s="13">
        <v>43958</v>
      </c>
      <c r="B139" t="s">
        <v>12</v>
      </c>
      <c r="C139">
        <v>10</v>
      </c>
      <c r="D139">
        <v>563</v>
      </c>
      <c r="E139">
        <v>486</v>
      </c>
    </row>
    <row r="140" spans="1:5" x14ac:dyDescent="0.3">
      <c r="A140" s="13">
        <v>43959</v>
      </c>
      <c r="B140" t="s">
        <v>16</v>
      </c>
      <c r="C140">
        <v>36</v>
      </c>
      <c r="D140">
        <v>4199</v>
      </c>
      <c r="E140">
        <v>3867</v>
      </c>
    </row>
    <row r="141" spans="1:5" x14ac:dyDescent="0.3">
      <c r="A141" s="13">
        <v>43959</v>
      </c>
      <c r="B141" t="s">
        <v>11</v>
      </c>
      <c r="C141">
        <v>31</v>
      </c>
      <c r="D141">
        <v>4635</v>
      </c>
      <c r="E141">
        <v>4266</v>
      </c>
    </row>
    <row r="142" spans="1:5" x14ac:dyDescent="0.3">
      <c r="A142" s="13">
        <v>43959</v>
      </c>
      <c r="B142" t="s">
        <v>17</v>
      </c>
      <c r="C142">
        <v>21</v>
      </c>
      <c r="D142">
        <v>1957</v>
      </c>
      <c r="E142">
        <v>1755</v>
      </c>
    </row>
    <row r="143" spans="1:5" x14ac:dyDescent="0.3">
      <c r="A143" s="13">
        <v>43959</v>
      </c>
      <c r="B143" t="s">
        <v>10</v>
      </c>
      <c r="C143">
        <v>21</v>
      </c>
      <c r="D143">
        <v>1646</v>
      </c>
      <c r="E143">
        <v>1492</v>
      </c>
    </row>
    <row r="144" spans="1:5" x14ac:dyDescent="0.3">
      <c r="A144" s="13">
        <v>43959</v>
      </c>
      <c r="B144" t="s">
        <v>20</v>
      </c>
      <c r="C144">
        <v>19</v>
      </c>
      <c r="D144">
        <v>1520</v>
      </c>
      <c r="E144">
        <v>1380</v>
      </c>
    </row>
    <row r="145" spans="1:5" x14ac:dyDescent="0.3">
      <c r="A145" s="13">
        <v>43959</v>
      </c>
      <c r="B145" t="s">
        <v>22</v>
      </c>
      <c r="C145">
        <v>54</v>
      </c>
      <c r="D145">
        <v>13563</v>
      </c>
      <c r="E145">
        <v>12604</v>
      </c>
    </row>
    <row r="146" spans="1:5" x14ac:dyDescent="0.3">
      <c r="A146" s="13">
        <v>43959</v>
      </c>
      <c r="B146" t="s">
        <v>21</v>
      </c>
      <c r="C146">
        <v>59</v>
      </c>
      <c r="D146">
        <v>14098</v>
      </c>
      <c r="E146">
        <v>13106</v>
      </c>
    </row>
    <row r="147" spans="1:5" x14ac:dyDescent="0.3">
      <c r="A147" s="13">
        <v>43959</v>
      </c>
      <c r="B147" t="s">
        <v>13</v>
      </c>
      <c r="C147">
        <v>19</v>
      </c>
      <c r="D147">
        <v>1522</v>
      </c>
      <c r="E147">
        <v>1340</v>
      </c>
    </row>
    <row r="148" spans="1:5" x14ac:dyDescent="0.3">
      <c r="A148" s="13">
        <v>43959</v>
      </c>
      <c r="B148" t="s">
        <v>23</v>
      </c>
      <c r="C148">
        <v>15</v>
      </c>
      <c r="D148">
        <v>703</v>
      </c>
      <c r="E148">
        <v>609</v>
      </c>
    </row>
    <row r="149" spans="1:5" x14ac:dyDescent="0.3">
      <c r="A149" s="13">
        <v>43959</v>
      </c>
      <c r="B149" t="s">
        <v>18</v>
      </c>
      <c r="C149">
        <v>15</v>
      </c>
      <c r="D149">
        <v>879</v>
      </c>
      <c r="E149">
        <v>768</v>
      </c>
    </row>
    <row r="150" spans="1:5" x14ac:dyDescent="0.3">
      <c r="A150" s="13">
        <v>43959</v>
      </c>
      <c r="B150" t="s">
        <v>19</v>
      </c>
      <c r="C150">
        <v>15</v>
      </c>
      <c r="D150">
        <v>492</v>
      </c>
      <c r="E150">
        <v>412</v>
      </c>
    </row>
    <row r="151" spans="1:5" x14ac:dyDescent="0.3">
      <c r="A151" s="13">
        <v>43959</v>
      </c>
      <c r="B151" t="s">
        <v>15</v>
      </c>
      <c r="C151">
        <v>125</v>
      </c>
      <c r="D151">
        <v>24620</v>
      </c>
      <c r="E151">
        <v>22641</v>
      </c>
    </row>
    <row r="152" spans="1:5" x14ac:dyDescent="0.3">
      <c r="A152" s="13">
        <v>43959</v>
      </c>
      <c r="B152" t="s">
        <v>14</v>
      </c>
      <c r="C152">
        <v>129</v>
      </c>
      <c r="D152">
        <v>20452</v>
      </c>
      <c r="E152">
        <v>18857</v>
      </c>
    </row>
    <row r="153" spans="1:5" x14ac:dyDescent="0.3">
      <c r="A153" s="13">
        <v>43959</v>
      </c>
      <c r="B153" t="s">
        <v>12</v>
      </c>
      <c r="C153">
        <v>10</v>
      </c>
      <c r="D153">
        <v>638</v>
      </c>
      <c r="E153">
        <v>547</v>
      </c>
    </row>
    <row r="154" spans="1:5" x14ac:dyDescent="0.3">
      <c r="A154" s="13">
        <v>43960</v>
      </c>
      <c r="B154" t="s">
        <v>16</v>
      </c>
      <c r="C154">
        <v>36</v>
      </c>
      <c r="D154">
        <v>5413</v>
      </c>
      <c r="E154">
        <v>4959</v>
      </c>
    </row>
    <row r="155" spans="1:5" x14ac:dyDescent="0.3">
      <c r="A155" s="13">
        <v>43960</v>
      </c>
      <c r="B155" t="s">
        <v>11</v>
      </c>
      <c r="C155">
        <v>31</v>
      </c>
      <c r="D155">
        <v>4556</v>
      </c>
      <c r="E155">
        <v>4220</v>
      </c>
    </row>
    <row r="156" spans="1:5" x14ac:dyDescent="0.3">
      <c r="A156" s="13">
        <v>43960</v>
      </c>
      <c r="B156" t="s">
        <v>17</v>
      </c>
      <c r="C156">
        <v>21</v>
      </c>
      <c r="D156">
        <v>1891</v>
      </c>
      <c r="E156">
        <v>1709</v>
      </c>
    </row>
    <row r="157" spans="1:5" x14ac:dyDescent="0.3">
      <c r="A157" s="13">
        <v>43960</v>
      </c>
      <c r="B157" t="s">
        <v>10</v>
      </c>
      <c r="C157">
        <v>21</v>
      </c>
      <c r="D157">
        <v>1735</v>
      </c>
      <c r="E157">
        <v>1568</v>
      </c>
    </row>
    <row r="158" spans="1:5" x14ac:dyDescent="0.3">
      <c r="A158" s="13">
        <v>43960</v>
      </c>
      <c r="B158" t="s">
        <v>20</v>
      </c>
      <c r="C158">
        <v>19</v>
      </c>
      <c r="D158">
        <v>1542</v>
      </c>
      <c r="E158">
        <v>1412</v>
      </c>
    </row>
    <row r="159" spans="1:5" x14ac:dyDescent="0.3">
      <c r="A159" s="13">
        <v>43960</v>
      </c>
      <c r="B159" t="s">
        <v>22</v>
      </c>
      <c r="C159">
        <v>54</v>
      </c>
      <c r="D159">
        <v>11288</v>
      </c>
      <c r="E159">
        <v>10492</v>
      </c>
    </row>
    <row r="160" spans="1:5" x14ac:dyDescent="0.3">
      <c r="A160" s="13">
        <v>43960</v>
      </c>
      <c r="B160" t="s">
        <v>21</v>
      </c>
      <c r="C160">
        <v>59</v>
      </c>
      <c r="D160">
        <v>12016</v>
      </c>
      <c r="E160">
        <v>11137</v>
      </c>
    </row>
    <row r="161" spans="1:5" x14ac:dyDescent="0.3">
      <c r="A161" s="13">
        <v>43960</v>
      </c>
      <c r="B161" t="s">
        <v>13</v>
      </c>
      <c r="C161">
        <v>19</v>
      </c>
      <c r="D161">
        <v>1851</v>
      </c>
      <c r="E161">
        <v>1635</v>
      </c>
    </row>
    <row r="162" spans="1:5" x14ac:dyDescent="0.3">
      <c r="A162" s="13">
        <v>43960</v>
      </c>
      <c r="B162" t="s">
        <v>23</v>
      </c>
      <c r="C162">
        <v>15</v>
      </c>
      <c r="D162">
        <v>654</v>
      </c>
      <c r="E162">
        <v>570</v>
      </c>
    </row>
    <row r="163" spans="1:5" x14ac:dyDescent="0.3">
      <c r="A163" s="13">
        <v>43960</v>
      </c>
      <c r="B163" t="s">
        <v>18</v>
      </c>
      <c r="C163">
        <v>15</v>
      </c>
      <c r="D163">
        <v>849</v>
      </c>
      <c r="E163">
        <v>740</v>
      </c>
    </row>
    <row r="164" spans="1:5" x14ac:dyDescent="0.3">
      <c r="A164" s="13">
        <v>43960</v>
      </c>
      <c r="B164" t="s">
        <v>19</v>
      </c>
      <c r="C164">
        <v>15</v>
      </c>
      <c r="D164">
        <v>623</v>
      </c>
      <c r="E164">
        <v>535</v>
      </c>
    </row>
    <row r="165" spans="1:5" x14ac:dyDescent="0.3">
      <c r="A165" s="13">
        <v>43960</v>
      </c>
      <c r="B165" t="s">
        <v>15</v>
      </c>
      <c r="C165">
        <v>125</v>
      </c>
      <c r="D165">
        <v>20132</v>
      </c>
      <c r="E165">
        <v>18617</v>
      </c>
    </row>
    <row r="166" spans="1:5" x14ac:dyDescent="0.3">
      <c r="A166" s="13">
        <v>43960</v>
      </c>
      <c r="B166" t="s">
        <v>14</v>
      </c>
      <c r="C166">
        <v>129</v>
      </c>
      <c r="D166">
        <v>16420</v>
      </c>
      <c r="E166">
        <v>15169</v>
      </c>
    </row>
    <row r="167" spans="1:5" x14ac:dyDescent="0.3">
      <c r="A167" s="13">
        <v>43960</v>
      </c>
      <c r="B167" t="s">
        <v>12</v>
      </c>
      <c r="C167">
        <v>10</v>
      </c>
      <c r="D167">
        <v>644</v>
      </c>
      <c r="E167">
        <v>559</v>
      </c>
    </row>
    <row r="168" spans="1:5" x14ac:dyDescent="0.3">
      <c r="A168" s="13">
        <v>43961</v>
      </c>
      <c r="B168" t="s">
        <v>16</v>
      </c>
      <c r="C168">
        <v>36</v>
      </c>
      <c r="D168">
        <v>5746</v>
      </c>
      <c r="E168">
        <v>5277</v>
      </c>
    </row>
    <row r="169" spans="1:5" x14ac:dyDescent="0.3">
      <c r="A169" s="13">
        <v>43961</v>
      </c>
      <c r="B169" t="s">
        <v>11</v>
      </c>
      <c r="C169">
        <v>31</v>
      </c>
      <c r="D169">
        <v>5495</v>
      </c>
      <c r="E169">
        <v>5093</v>
      </c>
    </row>
    <row r="170" spans="1:5" x14ac:dyDescent="0.3">
      <c r="A170" s="13">
        <v>43961</v>
      </c>
      <c r="B170" t="s">
        <v>17</v>
      </c>
      <c r="C170">
        <v>21</v>
      </c>
      <c r="D170">
        <v>2120</v>
      </c>
      <c r="E170">
        <v>1921</v>
      </c>
    </row>
    <row r="171" spans="1:5" x14ac:dyDescent="0.3">
      <c r="A171" s="13">
        <v>43961</v>
      </c>
      <c r="B171" t="s">
        <v>10</v>
      </c>
      <c r="C171">
        <v>21</v>
      </c>
      <c r="D171">
        <v>2016</v>
      </c>
      <c r="E171">
        <v>1846</v>
      </c>
    </row>
    <row r="172" spans="1:5" x14ac:dyDescent="0.3">
      <c r="A172" s="13">
        <v>43961</v>
      </c>
      <c r="B172" t="s">
        <v>20</v>
      </c>
      <c r="C172">
        <v>19</v>
      </c>
      <c r="D172">
        <v>1836</v>
      </c>
      <c r="E172">
        <v>1680</v>
      </c>
    </row>
    <row r="173" spans="1:5" x14ac:dyDescent="0.3">
      <c r="A173" s="13">
        <v>43961</v>
      </c>
      <c r="B173" t="s">
        <v>22</v>
      </c>
      <c r="C173">
        <v>54</v>
      </c>
      <c r="D173">
        <v>13832</v>
      </c>
      <c r="E173">
        <v>12864</v>
      </c>
    </row>
    <row r="174" spans="1:5" x14ac:dyDescent="0.3">
      <c r="A174" s="13">
        <v>43961</v>
      </c>
      <c r="B174" t="s">
        <v>21</v>
      </c>
      <c r="C174">
        <v>59</v>
      </c>
      <c r="D174">
        <v>14569</v>
      </c>
      <c r="E174">
        <v>13566</v>
      </c>
    </row>
    <row r="175" spans="1:5" x14ac:dyDescent="0.3">
      <c r="A175" s="13">
        <v>43961</v>
      </c>
      <c r="B175" t="s">
        <v>13</v>
      </c>
      <c r="C175">
        <v>19</v>
      </c>
      <c r="D175">
        <v>1848</v>
      </c>
      <c r="E175">
        <v>1649</v>
      </c>
    </row>
    <row r="176" spans="1:5" x14ac:dyDescent="0.3">
      <c r="A176" s="13">
        <v>43961</v>
      </c>
      <c r="B176" t="s">
        <v>23</v>
      </c>
      <c r="C176">
        <v>15</v>
      </c>
      <c r="D176">
        <v>792</v>
      </c>
      <c r="E176">
        <v>695</v>
      </c>
    </row>
    <row r="177" spans="1:5" x14ac:dyDescent="0.3">
      <c r="A177" s="13">
        <v>43961</v>
      </c>
      <c r="B177" t="s">
        <v>18</v>
      </c>
      <c r="C177">
        <v>15</v>
      </c>
      <c r="D177">
        <v>950</v>
      </c>
      <c r="E177">
        <v>848</v>
      </c>
    </row>
    <row r="178" spans="1:5" x14ac:dyDescent="0.3">
      <c r="A178" s="13">
        <v>43961</v>
      </c>
      <c r="B178" t="s">
        <v>19</v>
      </c>
      <c r="C178">
        <v>15</v>
      </c>
      <c r="D178">
        <v>706</v>
      </c>
      <c r="E178">
        <v>608</v>
      </c>
    </row>
    <row r="179" spans="1:5" x14ac:dyDescent="0.3">
      <c r="A179" s="13">
        <v>43961</v>
      </c>
      <c r="B179" t="s">
        <v>15</v>
      </c>
      <c r="C179">
        <v>125</v>
      </c>
      <c r="D179">
        <v>20368</v>
      </c>
      <c r="E179">
        <v>18884</v>
      </c>
    </row>
    <row r="180" spans="1:5" x14ac:dyDescent="0.3">
      <c r="A180" s="13">
        <v>43961</v>
      </c>
      <c r="B180" t="s">
        <v>14</v>
      </c>
      <c r="C180">
        <v>129</v>
      </c>
      <c r="D180">
        <v>16437</v>
      </c>
      <c r="E180">
        <v>15285</v>
      </c>
    </row>
    <row r="181" spans="1:5" x14ac:dyDescent="0.3">
      <c r="A181" s="13">
        <v>43961</v>
      </c>
      <c r="B181" t="s">
        <v>12</v>
      </c>
      <c r="C181">
        <v>10</v>
      </c>
      <c r="D181">
        <v>642</v>
      </c>
      <c r="E181">
        <v>556</v>
      </c>
    </row>
    <row r="182" spans="1:5" x14ac:dyDescent="0.3">
      <c r="A182" s="13">
        <v>43962</v>
      </c>
      <c r="B182" t="s">
        <v>16</v>
      </c>
      <c r="C182">
        <v>36</v>
      </c>
      <c r="D182">
        <v>4150</v>
      </c>
      <c r="E182">
        <v>3838</v>
      </c>
    </row>
    <row r="183" spans="1:5" x14ac:dyDescent="0.3">
      <c r="A183" s="13">
        <v>43962</v>
      </c>
      <c r="B183" t="s">
        <v>11</v>
      </c>
      <c r="C183">
        <v>31</v>
      </c>
      <c r="D183">
        <v>4826</v>
      </c>
      <c r="E183">
        <v>4483</v>
      </c>
    </row>
    <row r="184" spans="1:5" x14ac:dyDescent="0.3">
      <c r="A184" s="13">
        <v>43962</v>
      </c>
      <c r="B184" t="s">
        <v>17</v>
      </c>
      <c r="C184">
        <v>21</v>
      </c>
      <c r="D184">
        <v>1916</v>
      </c>
      <c r="E184">
        <v>1733</v>
      </c>
    </row>
    <row r="185" spans="1:5" x14ac:dyDescent="0.3">
      <c r="A185" s="13">
        <v>43962</v>
      </c>
      <c r="B185" t="s">
        <v>10</v>
      </c>
      <c r="C185">
        <v>21</v>
      </c>
      <c r="D185">
        <v>1597</v>
      </c>
      <c r="E185">
        <v>1457</v>
      </c>
    </row>
    <row r="186" spans="1:5" x14ac:dyDescent="0.3">
      <c r="A186" s="13">
        <v>43962</v>
      </c>
      <c r="B186" t="s">
        <v>20</v>
      </c>
      <c r="C186">
        <v>19</v>
      </c>
      <c r="D186">
        <v>1527</v>
      </c>
      <c r="E186">
        <v>1389</v>
      </c>
    </row>
    <row r="187" spans="1:5" x14ac:dyDescent="0.3">
      <c r="A187" s="13">
        <v>43962</v>
      </c>
      <c r="B187" t="s">
        <v>22</v>
      </c>
      <c r="C187">
        <v>54</v>
      </c>
      <c r="D187">
        <v>10570</v>
      </c>
      <c r="E187">
        <v>9926</v>
      </c>
    </row>
    <row r="188" spans="1:5" x14ac:dyDescent="0.3">
      <c r="A188" s="13">
        <v>43962</v>
      </c>
      <c r="B188" t="s">
        <v>21</v>
      </c>
      <c r="C188">
        <v>60</v>
      </c>
      <c r="D188">
        <v>11100</v>
      </c>
      <c r="E188">
        <v>10407</v>
      </c>
    </row>
    <row r="189" spans="1:5" x14ac:dyDescent="0.3">
      <c r="A189" s="13">
        <v>43962</v>
      </c>
      <c r="B189" t="s">
        <v>13</v>
      </c>
      <c r="C189">
        <v>19</v>
      </c>
      <c r="D189">
        <v>2530</v>
      </c>
      <c r="E189">
        <v>2270</v>
      </c>
    </row>
    <row r="190" spans="1:5" x14ac:dyDescent="0.3">
      <c r="A190" s="13">
        <v>43962</v>
      </c>
      <c r="B190" t="s">
        <v>23</v>
      </c>
      <c r="C190">
        <v>15</v>
      </c>
      <c r="D190">
        <v>654</v>
      </c>
      <c r="E190">
        <v>564</v>
      </c>
    </row>
    <row r="191" spans="1:5" x14ac:dyDescent="0.3">
      <c r="A191" s="13">
        <v>43962</v>
      </c>
      <c r="B191" t="s">
        <v>18</v>
      </c>
      <c r="C191">
        <v>15</v>
      </c>
      <c r="D191">
        <v>812</v>
      </c>
      <c r="E191">
        <v>714</v>
      </c>
    </row>
    <row r="192" spans="1:5" x14ac:dyDescent="0.3">
      <c r="A192" s="13">
        <v>43962</v>
      </c>
      <c r="B192" t="s">
        <v>19</v>
      </c>
      <c r="C192">
        <v>15</v>
      </c>
      <c r="D192">
        <v>684</v>
      </c>
      <c r="E192">
        <v>585</v>
      </c>
    </row>
    <row r="193" spans="1:5" x14ac:dyDescent="0.3">
      <c r="A193" s="13">
        <v>43962</v>
      </c>
      <c r="B193" t="s">
        <v>15</v>
      </c>
      <c r="C193">
        <v>125</v>
      </c>
      <c r="D193">
        <v>18066</v>
      </c>
      <c r="E193">
        <v>16883</v>
      </c>
    </row>
    <row r="194" spans="1:5" x14ac:dyDescent="0.3">
      <c r="A194" s="13">
        <v>43962</v>
      </c>
      <c r="B194" t="s">
        <v>14</v>
      </c>
      <c r="C194">
        <v>129</v>
      </c>
      <c r="D194">
        <v>14043</v>
      </c>
      <c r="E194">
        <v>13167</v>
      </c>
    </row>
    <row r="195" spans="1:5" x14ac:dyDescent="0.3">
      <c r="A195" s="13">
        <v>43962</v>
      </c>
      <c r="B195" t="s">
        <v>12</v>
      </c>
      <c r="C195">
        <v>10</v>
      </c>
      <c r="D195">
        <v>494</v>
      </c>
      <c r="E195">
        <v>421</v>
      </c>
    </row>
    <row r="196" spans="1:5" x14ac:dyDescent="0.3">
      <c r="A196" s="13">
        <v>43963</v>
      </c>
      <c r="B196" t="s">
        <v>16</v>
      </c>
      <c r="C196">
        <v>36</v>
      </c>
      <c r="D196">
        <v>4418</v>
      </c>
      <c r="E196">
        <v>4088</v>
      </c>
    </row>
    <row r="197" spans="1:5" x14ac:dyDescent="0.3">
      <c r="A197" s="13">
        <v>43963</v>
      </c>
      <c r="B197" t="s">
        <v>11</v>
      </c>
      <c r="C197">
        <v>31</v>
      </c>
      <c r="D197">
        <v>4800</v>
      </c>
      <c r="E197">
        <v>4470</v>
      </c>
    </row>
    <row r="198" spans="1:5" x14ac:dyDescent="0.3">
      <c r="A198" s="13">
        <v>43963</v>
      </c>
      <c r="B198" t="s">
        <v>17</v>
      </c>
      <c r="C198">
        <v>21</v>
      </c>
      <c r="D198">
        <v>1926</v>
      </c>
      <c r="E198">
        <v>1745</v>
      </c>
    </row>
    <row r="199" spans="1:5" x14ac:dyDescent="0.3">
      <c r="A199" s="13">
        <v>43963</v>
      </c>
      <c r="B199" t="s">
        <v>10</v>
      </c>
      <c r="C199">
        <v>21</v>
      </c>
      <c r="D199">
        <v>1656</v>
      </c>
      <c r="E199">
        <v>1516</v>
      </c>
    </row>
    <row r="200" spans="1:5" x14ac:dyDescent="0.3">
      <c r="A200" s="13">
        <v>43963</v>
      </c>
      <c r="B200" t="s">
        <v>20</v>
      </c>
      <c r="C200">
        <v>19</v>
      </c>
      <c r="D200">
        <v>1598</v>
      </c>
      <c r="E200">
        <v>1454</v>
      </c>
    </row>
    <row r="201" spans="1:5" x14ac:dyDescent="0.3">
      <c r="A201" s="13">
        <v>43963</v>
      </c>
      <c r="B201" t="s">
        <v>22</v>
      </c>
      <c r="C201">
        <v>54</v>
      </c>
      <c r="D201">
        <v>11614</v>
      </c>
      <c r="E201">
        <v>10862</v>
      </c>
    </row>
    <row r="202" spans="1:5" x14ac:dyDescent="0.3">
      <c r="A202" s="13">
        <v>43963</v>
      </c>
      <c r="B202" t="s">
        <v>21</v>
      </c>
      <c r="C202">
        <v>60</v>
      </c>
      <c r="D202">
        <v>12000</v>
      </c>
      <c r="E202">
        <v>11194</v>
      </c>
    </row>
    <row r="203" spans="1:5" x14ac:dyDescent="0.3">
      <c r="A203" s="13">
        <v>43963</v>
      </c>
      <c r="B203" t="s">
        <v>13</v>
      </c>
      <c r="C203">
        <v>19</v>
      </c>
      <c r="D203">
        <v>1649</v>
      </c>
      <c r="E203">
        <v>1460</v>
      </c>
    </row>
    <row r="204" spans="1:5" x14ac:dyDescent="0.3">
      <c r="A204" s="13">
        <v>43963</v>
      </c>
      <c r="B204" t="s">
        <v>23</v>
      </c>
      <c r="C204">
        <v>15</v>
      </c>
      <c r="D204">
        <v>750</v>
      </c>
      <c r="E204">
        <v>659</v>
      </c>
    </row>
    <row r="205" spans="1:5" x14ac:dyDescent="0.3">
      <c r="A205" s="13">
        <v>43963</v>
      </c>
      <c r="B205" t="s">
        <v>18</v>
      </c>
      <c r="C205">
        <v>15</v>
      </c>
      <c r="D205">
        <v>845</v>
      </c>
      <c r="E205">
        <v>743</v>
      </c>
    </row>
    <row r="206" spans="1:5" x14ac:dyDescent="0.3">
      <c r="A206" s="13">
        <v>43963</v>
      </c>
      <c r="B206" t="s">
        <v>19</v>
      </c>
      <c r="C206">
        <v>15</v>
      </c>
      <c r="D206">
        <v>624</v>
      </c>
      <c r="E206">
        <v>538</v>
      </c>
    </row>
    <row r="207" spans="1:5" x14ac:dyDescent="0.3">
      <c r="A207" s="13">
        <v>43963</v>
      </c>
      <c r="B207" t="s">
        <v>15</v>
      </c>
      <c r="C207">
        <v>125</v>
      </c>
      <c r="D207">
        <v>21106</v>
      </c>
      <c r="E207">
        <v>19651</v>
      </c>
    </row>
    <row r="208" spans="1:5" x14ac:dyDescent="0.3">
      <c r="A208" s="13">
        <v>43963</v>
      </c>
      <c r="B208" t="s">
        <v>14</v>
      </c>
      <c r="C208">
        <v>129</v>
      </c>
      <c r="D208">
        <v>16387</v>
      </c>
      <c r="E208">
        <v>15322</v>
      </c>
    </row>
    <row r="209" spans="1:5" x14ac:dyDescent="0.3">
      <c r="A209" s="13">
        <v>43963</v>
      </c>
      <c r="B209" t="s">
        <v>12</v>
      </c>
      <c r="C209">
        <v>10</v>
      </c>
      <c r="D209">
        <v>526</v>
      </c>
      <c r="E209">
        <v>448</v>
      </c>
    </row>
    <row r="210" spans="1:5" x14ac:dyDescent="0.3">
      <c r="A210" s="13">
        <v>43964</v>
      </c>
      <c r="B210" t="s">
        <v>16</v>
      </c>
      <c r="C210">
        <v>36</v>
      </c>
      <c r="D210">
        <v>4967</v>
      </c>
      <c r="E210">
        <v>4583</v>
      </c>
    </row>
    <row r="211" spans="1:5" x14ac:dyDescent="0.3">
      <c r="A211" s="13">
        <v>43964</v>
      </c>
      <c r="B211" t="s">
        <v>11</v>
      </c>
      <c r="C211">
        <v>31</v>
      </c>
      <c r="D211">
        <v>5251</v>
      </c>
      <c r="E211">
        <v>4853</v>
      </c>
    </row>
    <row r="212" spans="1:5" x14ac:dyDescent="0.3">
      <c r="A212" s="13">
        <v>43964</v>
      </c>
      <c r="B212" t="s">
        <v>17</v>
      </c>
      <c r="C212">
        <v>21</v>
      </c>
      <c r="D212">
        <v>2061</v>
      </c>
      <c r="E212">
        <v>1876</v>
      </c>
    </row>
    <row r="213" spans="1:5" x14ac:dyDescent="0.3">
      <c r="A213" s="13">
        <v>43964</v>
      </c>
      <c r="B213" t="s">
        <v>10</v>
      </c>
      <c r="C213">
        <v>21</v>
      </c>
      <c r="D213">
        <v>1698</v>
      </c>
      <c r="E213">
        <v>1554</v>
      </c>
    </row>
    <row r="214" spans="1:5" x14ac:dyDescent="0.3">
      <c r="A214" s="13">
        <v>43964</v>
      </c>
      <c r="B214" t="s">
        <v>20</v>
      </c>
      <c r="C214">
        <v>19</v>
      </c>
      <c r="D214">
        <v>1605</v>
      </c>
      <c r="E214">
        <v>1447</v>
      </c>
    </row>
    <row r="215" spans="1:5" x14ac:dyDescent="0.3">
      <c r="A215" s="13">
        <v>43964</v>
      </c>
      <c r="B215" t="s">
        <v>22</v>
      </c>
      <c r="C215">
        <v>54</v>
      </c>
      <c r="D215">
        <v>11522</v>
      </c>
      <c r="E215">
        <v>10803</v>
      </c>
    </row>
    <row r="216" spans="1:5" x14ac:dyDescent="0.3">
      <c r="A216" s="13">
        <v>43964</v>
      </c>
      <c r="B216" t="s">
        <v>21</v>
      </c>
      <c r="C216">
        <v>60</v>
      </c>
      <c r="D216">
        <v>12007</v>
      </c>
      <c r="E216">
        <v>11245</v>
      </c>
    </row>
    <row r="217" spans="1:5" x14ac:dyDescent="0.3">
      <c r="A217" s="13">
        <v>43964</v>
      </c>
      <c r="B217" t="s">
        <v>13</v>
      </c>
      <c r="C217">
        <v>19</v>
      </c>
      <c r="D217">
        <v>1625</v>
      </c>
      <c r="E217">
        <v>1444</v>
      </c>
    </row>
    <row r="218" spans="1:5" x14ac:dyDescent="0.3">
      <c r="A218" s="13">
        <v>43964</v>
      </c>
      <c r="B218" t="s">
        <v>23</v>
      </c>
      <c r="C218">
        <v>15</v>
      </c>
      <c r="D218">
        <v>854</v>
      </c>
      <c r="E218">
        <v>756</v>
      </c>
    </row>
    <row r="219" spans="1:5" x14ac:dyDescent="0.3">
      <c r="A219" s="13">
        <v>43964</v>
      </c>
      <c r="B219" t="s">
        <v>18</v>
      </c>
      <c r="C219">
        <v>15</v>
      </c>
      <c r="D219">
        <v>898</v>
      </c>
      <c r="E219">
        <v>795</v>
      </c>
    </row>
    <row r="220" spans="1:5" x14ac:dyDescent="0.3">
      <c r="A220" s="13">
        <v>43964</v>
      </c>
      <c r="B220" t="s">
        <v>19</v>
      </c>
      <c r="C220">
        <v>15</v>
      </c>
      <c r="D220">
        <v>599</v>
      </c>
      <c r="E220">
        <v>515</v>
      </c>
    </row>
    <row r="221" spans="1:5" x14ac:dyDescent="0.3">
      <c r="A221" s="13">
        <v>43964</v>
      </c>
      <c r="B221" t="s">
        <v>15</v>
      </c>
      <c r="C221">
        <v>125</v>
      </c>
      <c r="D221">
        <v>19965</v>
      </c>
      <c r="E221">
        <v>18573</v>
      </c>
    </row>
    <row r="222" spans="1:5" x14ac:dyDescent="0.3">
      <c r="A222" s="13">
        <v>43964</v>
      </c>
      <c r="B222" t="s">
        <v>14</v>
      </c>
      <c r="C222">
        <v>129</v>
      </c>
      <c r="D222">
        <v>15304</v>
      </c>
      <c r="E222">
        <v>14315</v>
      </c>
    </row>
    <row r="223" spans="1:5" x14ac:dyDescent="0.3">
      <c r="A223" s="13">
        <v>43964</v>
      </c>
      <c r="B223" t="s">
        <v>12</v>
      </c>
      <c r="C223">
        <v>10</v>
      </c>
      <c r="D223">
        <v>612</v>
      </c>
      <c r="E223">
        <v>530</v>
      </c>
    </row>
    <row r="224" spans="1:5" x14ac:dyDescent="0.3">
      <c r="A224" s="13">
        <v>43965</v>
      </c>
      <c r="B224" t="s">
        <v>16</v>
      </c>
      <c r="C224">
        <v>36</v>
      </c>
      <c r="D224">
        <v>4285</v>
      </c>
      <c r="E224">
        <v>3950</v>
      </c>
    </row>
    <row r="225" spans="1:5" x14ac:dyDescent="0.3">
      <c r="A225" s="13">
        <v>43965</v>
      </c>
      <c r="B225" t="s">
        <v>11</v>
      </c>
      <c r="C225">
        <v>31</v>
      </c>
      <c r="D225">
        <v>4695</v>
      </c>
      <c r="E225">
        <v>4372</v>
      </c>
    </row>
    <row r="226" spans="1:5" x14ac:dyDescent="0.3">
      <c r="A226" s="13">
        <v>43965</v>
      </c>
      <c r="B226" t="s">
        <v>17</v>
      </c>
      <c r="C226">
        <v>21</v>
      </c>
      <c r="D226">
        <v>1993</v>
      </c>
      <c r="E226">
        <v>1796</v>
      </c>
    </row>
    <row r="227" spans="1:5" x14ac:dyDescent="0.3">
      <c r="A227" s="13">
        <v>43965</v>
      </c>
      <c r="B227" t="s">
        <v>10</v>
      </c>
      <c r="C227">
        <v>21</v>
      </c>
      <c r="D227">
        <v>1706</v>
      </c>
      <c r="E227">
        <v>1548</v>
      </c>
    </row>
    <row r="228" spans="1:5" x14ac:dyDescent="0.3">
      <c r="A228" s="13">
        <v>43965</v>
      </c>
      <c r="B228" t="s">
        <v>20</v>
      </c>
      <c r="C228">
        <v>19</v>
      </c>
      <c r="D228">
        <v>1635</v>
      </c>
      <c r="E228">
        <v>1487</v>
      </c>
    </row>
    <row r="229" spans="1:5" x14ac:dyDescent="0.3">
      <c r="A229" s="13">
        <v>43965</v>
      </c>
      <c r="B229" t="s">
        <v>22</v>
      </c>
      <c r="C229">
        <v>54</v>
      </c>
      <c r="D229">
        <v>11194</v>
      </c>
      <c r="E229">
        <v>10554</v>
      </c>
    </row>
    <row r="230" spans="1:5" x14ac:dyDescent="0.3">
      <c r="A230" s="13">
        <v>43965</v>
      </c>
      <c r="B230" t="s">
        <v>21</v>
      </c>
      <c r="C230">
        <v>60</v>
      </c>
      <c r="D230">
        <v>11935</v>
      </c>
      <c r="E230">
        <v>11178</v>
      </c>
    </row>
    <row r="231" spans="1:5" x14ac:dyDescent="0.3">
      <c r="A231" s="13">
        <v>43965</v>
      </c>
      <c r="B231" t="s">
        <v>13</v>
      </c>
      <c r="C231">
        <v>19</v>
      </c>
      <c r="D231">
        <v>1675</v>
      </c>
      <c r="E231">
        <v>1475</v>
      </c>
    </row>
    <row r="232" spans="1:5" x14ac:dyDescent="0.3">
      <c r="A232" s="13">
        <v>43965</v>
      </c>
      <c r="B232" t="s">
        <v>23</v>
      </c>
      <c r="C232">
        <v>16</v>
      </c>
      <c r="D232">
        <v>834</v>
      </c>
      <c r="E232">
        <v>735</v>
      </c>
    </row>
    <row r="233" spans="1:5" x14ac:dyDescent="0.3">
      <c r="A233" s="13">
        <v>43965</v>
      </c>
      <c r="B233" t="s">
        <v>18</v>
      </c>
      <c r="C233">
        <v>15</v>
      </c>
      <c r="D233">
        <v>890</v>
      </c>
      <c r="E233">
        <v>777</v>
      </c>
    </row>
    <row r="234" spans="1:5" x14ac:dyDescent="0.3">
      <c r="A234" s="13">
        <v>43965</v>
      </c>
      <c r="B234" t="s">
        <v>19</v>
      </c>
      <c r="C234">
        <v>15</v>
      </c>
      <c r="D234">
        <v>638</v>
      </c>
      <c r="E234">
        <v>548</v>
      </c>
    </row>
    <row r="235" spans="1:5" x14ac:dyDescent="0.3">
      <c r="A235" s="13">
        <v>43965</v>
      </c>
      <c r="B235" t="s">
        <v>15</v>
      </c>
      <c r="C235">
        <v>125</v>
      </c>
      <c r="D235">
        <v>20247</v>
      </c>
      <c r="E235">
        <v>18812</v>
      </c>
    </row>
    <row r="236" spans="1:5" x14ac:dyDescent="0.3">
      <c r="A236" s="13">
        <v>43965</v>
      </c>
      <c r="B236" t="s">
        <v>14</v>
      </c>
      <c r="C236">
        <v>129</v>
      </c>
      <c r="D236">
        <v>15804</v>
      </c>
      <c r="E236">
        <v>14738</v>
      </c>
    </row>
    <row r="237" spans="1:5" x14ac:dyDescent="0.3">
      <c r="A237" s="13">
        <v>43965</v>
      </c>
      <c r="B237" t="s">
        <v>12</v>
      </c>
      <c r="C237">
        <v>10</v>
      </c>
      <c r="D237">
        <v>627</v>
      </c>
      <c r="E237">
        <v>545</v>
      </c>
    </row>
    <row r="238" spans="1:5" x14ac:dyDescent="0.3">
      <c r="A238" s="13">
        <v>43966</v>
      </c>
      <c r="B238" t="s">
        <v>16</v>
      </c>
      <c r="C238">
        <v>36</v>
      </c>
      <c r="D238">
        <v>4862</v>
      </c>
      <c r="E238">
        <v>4476</v>
      </c>
    </row>
    <row r="239" spans="1:5" x14ac:dyDescent="0.3">
      <c r="A239" s="13">
        <v>43966</v>
      </c>
      <c r="B239" t="s">
        <v>11</v>
      </c>
      <c r="C239">
        <v>31</v>
      </c>
      <c r="D239">
        <v>5184</v>
      </c>
      <c r="E239">
        <v>4778</v>
      </c>
    </row>
    <row r="240" spans="1:5" x14ac:dyDescent="0.3">
      <c r="A240" s="13">
        <v>43966</v>
      </c>
      <c r="B240" t="s">
        <v>17</v>
      </c>
      <c r="C240">
        <v>21</v>
      </c>
      <c r="D240">
        <v>2255</v>
      </c>
      <c r="E240">
        <v>2045</v>
      </c>
    </row>
    <row r="241" spans="1:5" x14ac:dyDescent="0.3">
      <c r="A241" s="13">
        <v>43966</v>
      </c>
      <c r="B241" t="s">
        <v>10</v>
      </c>
      <c r="C241">
        <v>21</v>
      </c>
      <c r="D241">
        <v>1926</v>
      </c>
      <c r="E241">
        <v>1742</v>
      </c>
    </row>
    <row r="242" spans="1:5" x14ac:dyDescent="0.3">
      <c r="A242" s="13">
        <v>43966</v>
      </c>
      <c r="B242" t="s">
        <v>20</v>
      </c>
      <c r="C242">
        <v>19</v>
      </c>
      <c r="D242">
        <v>1780</v>
      </c>
      <c r="E242">
        <v>1615</v>
      </c>
    </row>
    <row r="243" spans="1:5" x14ac:dyDescent="0.3">
      <c r="A243" s="13">
        <v>43966</v>
      </c>
      <c r="B243" t="s">
        <v>22</v>
      </c>
      <c r="C243">
        <v>54</v>
      </c>
      <c r="D243">
        <v>12791</v>
      </c>
      <c r="E243">
        <v>11950</v>
      </c>
    </row>
    <row r="244" spans="1:5" x14ac:dyDescent="0.3">
      <c r="A244" s="13">
        <v>43966</v>
      </c>
      <c r="B244" t="s">
        <v>21</v>
      </c>
      <c r="C244">
        <v>60</v>
      </c>
      <c r="D244">
        <v>13544</v>
      </c>
      <c r="E244">
        <v>12643</v>
      </c>
    </row>
    <row r="245" spans="1:5" x14ac:dyDescent="0.3">
      <c r="A245" s="13">
        <v>43966</v>
      </c>
      <c r="B245" t="s">
        <v>13</v>
      </c>
      <c r="C245">
        <v>19</v>
      </c>
      <c r="D245">
        <v>1940</v>
      </c>
      <c r="E245">
        <v>1715</v>
      </c>
    </row>
    <row r="246" spans="1:5" x14ac:dyDescent="0.3">
      <c r="A246" s="13">
        <v>43966</v>
      </c>
      <c r="B246" t="s">
        <v>23</v>
      </c>
      <c r="C246">
        <v>16</v>
      </c>
      <c r="D246">
        <v>817</v>
      </c>
      <c r="E246">
        <v>718</v>
      </c>
    </row>
    <row r="247" spans="1:5" x14ac:dyDescent="0.3">
      <c r="A247" s="13">
        <v>43966</v>
      </c>
      <c r="B247" t="s">
        <v>18</v>
      </c>
      <c r="C247">
        <v>15</v>
      </c>
      <c r="D247">
        <v>980</v>
      </c>
      <c r="E247">
        <v>867</v>
      </c>
    </row>
    <row r="248" spans="1:5" x14ac:dyDescent="0.3">
      <c r="A248" s="13">
        <v>43966</v>
      </c>
      <c r="B248" t="s">
        <v>19</v>
      </c>
      <c r="C248">
        <v>15</v>
      </c>
      <c r="D248">
        <v>688</v>
      </c>
      <c r="E248">
        <v>598</v>
      </c>
    </row>
    <row r="249" spans="1:5" x14ac:dyDescent="0.3">
      <c r="A249" s="13">
        <v>43966</v>
      </c>
      <c r="B249" t="s">
        <v>15</v>
      </c>
      <c r="C249">
        <v>125</v>
      </c>
      <c r="D249">
        <v>21862</v>
      </c>
      <c r="E249">
        <v>20235</v>
      </c>
    </row>
    <row r="250" spans="1:5" x14ac:dyDescent="0.3">
      <c r="A250" s="13">
        <v>43966</v>
      </c>
      <c r="B250" t="s">
        <v>14</v>
      </c>
      <c r="C250">
        <v>129</v>
      </c>
      <c r="D250">
        <v>17808</v>
      </c>
      <c r="E250">
        <v>16486</v>
      </c>
    </row>
    <row r="251" spans="1:5" x14ac:dyDescent="0.3">
      <c r="A251" s="13">
        <v>43966</v>
      </c>
      <c r="B251" t="s">
        <v>12</v>
      </c>
      <c r="C251">
        <v>10</v>
      </c>
      <c r="D251">
        <v>743</v>
      </c>
      <c r="E251">
        <v>652</v>
      </c>
    </row>
    <row r="252" spans="1:5" x14ac:dyDescent="0.3">
      <c r="A252" s="13">
        <v>43967</v>
      </c>
      <c r="B252" t="s">
        <v>16</v>
      </c>
      <c r="C252">
        <v>36</v>
      </c>
      <c r="D252">
        <v>5286</v>
      </c>
      <c r="E252">
        <v>4867</v>
      </c>
    </row>
    <row r="253" spans="1:5" x14ac:dyDescent="0.3">
      <c r="A253" s="13">
        <v>43967</v>
      </c>
      <c r="B253" t="s">
        <v>11</v>
      </c>
      <c r="C253">
        <v>31</v>
      </c>
      <c r="D253">
        <v>5593</v>
      </c>
      <c r="E253">
        <v>5177</v>
      </c>
    </row>
    <row r="254" spans="1:5" x14ac:dyDescent="0.3">
      <c r="A254" s="13">
        <v>43967</v>
      </c>
      <c r="B254" t="s">
        <v>17</v>
      </c>
      <c r="C254">
        <v>21</v>
      </c>
      <c r="D254">
        <v>2427</v>
      </c>
      <c r="E254">
        <v>2213</v>
      </c>
    </row>
    <row r="255" spans="1:5" x14ac:dyDescent="0.3">
      <c r="A255" s="13">
        <v>43967</v>
      </c>
      <c r="B255" t="s">
        <v>10</v>
      </c>
      <c r="C255">
        <v>21</v>
      </c>
      <c r="D255">
        <v>2145</v>
      </c>
      <c r="E255">
        <v>1947</v>
      </c>
    </row>
    <row r="256" spans="1:5" x14ac:dyDescent="0.3">
      <c r="A256" s="13">
        <v>43967</v>
      </c>
      <c r="B256" t="s">
        <v>20</v>
      </c>
      <c r="C256">
        <v>19</v>
      </c>
      <c r="D256">
        <v>2039</v>
      </c>
      <c r="E256">
        <v>1868</v>
      </c>
    </row>
    <row r="257" spans="1:5" x14ac:dyDescent="0.3">
      <c r="A257" s="13">
        <v>43967</v>
      </c>
      <c r="B257" t="s">
        <v>22</v>
      </c>
      <c r="C257">
        <v>54</v>
      </c>
      <c r="D257">
        <v>13170</v>
      </c>
      <c r="E257">
        <v>12299</v>
      </c>
    </row>
    <row r="258" spans="1:5" x14ac:dyDescent="0.3">
      <c r="A258" s="13">
        <v>43967</v>
      </c>
      <c r="B258" t="s">
        <v>21</v>
      </c>
      <c r="C258">
        <v>60</v>
      </c>
      <c r="D258">
        <v>14049</v>
      </c>
      <c r="E258">
        <v>13118</v>
      </c>
    </row>
    <row r="259" spans="1:5" x14ac:dyDescent="0.3">
      <c r="A259" s="13">
        <v>43967</v>
      </c>
      <c r="B259" t="s">
        <v>13</v>
      </c>
      <c r="C259">
        <v>19</v>
      </c>
      <c r="D259">
        <v>2080</v>
      </c>
      <c r="E259">
        <v>1844</v>
      </c>
    </row>
    <row r="260" spans="1:5" x14ac:dyDescent="0.3">
      <c r="A260" s="13">
        <v>43967</v>
      </c>
      <c r="B260" t="s">
        <v>23</v>
      </c>
      <c r="C260">
        <v>16</v>
      </c>
      <c r="D260">
        <v>920</v>
      </c>
      <c r="E260">
        <v>818</v>
      </c>
    </row>
    <row r="261" spans="1:5" x14ac:dyDescent="0.3">
      <c r="A261" s="13">
        <v>43967</v>
      </c>
      <c r="B261" t="s">
        <v>18</v>
      </c>
      <c r="C261">
        <v>15</v>
      </c>
      <c r="D261">
        <v>1111</v>
      </c>
      <c r="E261">
        <v>992</v>
      </c>
    </row>
    <row r="262" spans="1:5" x14ac:dyDescent="0.3">
      <c r="A262" s="13">
        <v>43967</v>
      </c>
      <c r="B262" t="s">
        <v>19</v>
      </c>
      <c r="C262">
        <v>15</v>
      </c>
      <c r="D262">
        <v>747</v>
      </c>
      <c r="E262">
        <v>647</v>
      </c>
    </row>
    <row r="263" spans="1:5" x14ac:dyDescent="0.3">
      <c r="A263" s="13">
        <v>43967</v>
      </c>
      <c r="B263" t="s">
        <v>15</v>
      </c>
      <c r="C263">
        <v>125</v>
      </c>
      <c r="D263">
        <v>22291</v>
      </c>
      <c r="E263">
        <v>20635</v>
      </c>
    </row>
    <row r="264" spans="1:5" x14ac:dyDescent="0.3">
      <c r="A264" s="13">
        <v>43967</v>
      </c>
      <c r="B264" t="s">
        <v>14</v>
      </c>
      <c r="C264">
        <v>129</v>
      </c>
      <c r="D264">
        <v>17914</v>
      </c>
      <c r="E264">
        <v>16631</v>
      </c>
    </row>
    <row r="265" spans="1:5" x14ac:dyDescent="0.3">
      <c r="A265" s="13">
        <v>43967</v>
      </c>
      <c r="B265" t="s">
        <v>12</v>
      </c>
      <c r="C265">
        <v>10</v>
      </c>
      <c r="D265">
        <v>760</v>
      </c>
      <c r="E265">
        <v>672</v>
      </c>
    </row>
    <row r="266" spans="1:5" x14ac:dyDescent="0.3">
      <c r="A266" s="13">
        <v>43968</v>
      </c>
      <c r="B266" t="s">
        <v>16</v>
      </c>
      <c r="C266">
        <v>36</v>
      </c>
      <c r="D266">
        <v>4918</v>
      </c>
      <c r="E266">
        <v>4554</v>
      </c>
    </row>
    <row r="267" spans="1:5" x14ac:dyDescent="0.3">
      <c r="A267" s="13">
        <v>43968</v>
      </c>
      <c r="B267" t="s">
        <v>11</v>
      </c>
      <c r="C267">
        <v>31</v>
      </c>
      <c r="D267">
        <v>5206</v>
      </c>
      <c r="E267">
        <v>4843</v>
      </c>
    </row>
    <row r="268" spans="1:5" x14ac:dyDescent="0.3">
      <c r="A268" s="13">
        <v>43968</v>
      </c>
      <c r="B268" t="s">
        <v>17</v>
      </c>
      <c r="C268">
        <v>21</v>
      </c>
      <c r="D268">
        <v>2054</v>
      </c>
      <c r="E268">
        <v>1883</v>
      </c>
    </row>
    <row r="269" spans="1:5" x14ac:dyDescent="0.3">
      <c r="A269" s="13">
        <v>43968</v>
      </c>
      <c r="B269" t="s">
        <v>10</v>
      </c>
      <c r="C269">
        <v>21</v>
      </c>
      <c r="D269">
        <v>1874</v>
      </c>
      <c r="E269">
        <v>1705</v>
      </c>
    </row>
    <row r="270" spans="1:5" x14ac:dyDescent="0.3">
      <c r="A270" s="13">
        <v>43968</v>
      </c>
      <c r="B270" t="s">
        <v>20</v>
      </c>
      <c r="C270">
        <v>19</v>
      </c>
      <c r="D270">
        <v>1790</v>
      </c>
      <c r="E270">
        <v>1633</v>
      </c>
    </row>
    <row r="271" spans="1:5" x14ac:dyDescent="0.3">
      <c r="A271" s="13">
        <v>43968</v>
      </c>
      <c r="B271" t="s">
        <v>22</v>
      </c>
      <c r="C271">
        <v>54</v>
      </c>
      <c r="D271">
        <v>11128</v>
      </c>
      <c r="E271">
        <v>10467</v>
      </c>
    </row>
    <row r="272" spans="1:5" x14ac:dyDescent="0.3">
      <c r="A272" s="13">
        <v>43968</v>
      </c>
      <c r="B272" t="s">
        <v>21</v>
      </c>
      <c r="C272">
        <v>60</v>
      </c>
      <c r="D272">
        <v>11698</v>
      </c>
      <c r="E272">
        <v>10989</v>
      </c>
    </row>
    <row r="273" spans="1:5" x14ac:dyDescent="0.3">
      <c r="A273" s="13">
        <v>43968</v>
      </c>
      <c r="B273" t="s">
        <v>13</v>
      </c>
      <c r="C273">
        <v>19</v>
      </c>
      <c r="D273">
        <v>1871</v>
      </c>
      <c r="E273">
        <v>1660</v>
      </c>
    </row>
    <row r="274" spans="1:5" x14ac:dyDescent="0.3">
      <c r="A274" s="13">
        <v>43968</v>
      </c>
      <c r="B274" t="s">
        <v>23</v>
      </c>
      <c r="C274">
        <v>16</v>
      </c>
      <c r="D274">
        <v>859</v>
      </c>
      <c r="E274">
        <v>746</v>
      </c>
    </row>
    <row r="275" spans="1:5" x14ac:dyDescent="0.3">
      <c r="A275" s="13">
        <v>43968</v>
      </c>
      <c r="B275" t="s">
        <v>18</v>
      </c>
      <c r="C275">
        <v>15</v>
      </c>
      <c r="D275">
        <v>971</v>
      </c>
      <c r="E275">
        <v>856</v>
      </c>
    </row>
    <row r="276" spans="1:5" x14ac:dyDescent="0.3">
      <c r="A276" s="13">
        <v>43968</v>
      </c>
      <c r="B276" t="s">
        <v>19</v>
      </c>
      <c r="C276">
        <v>15</v>
      </c>
      <c r="D276">
        <v>692</v>
      </c>
      <c r="E276">
        <v>591</v>
      </c>
    </row>
    <row r="277" spans="1:5" x14ac:dyDescent="0.3">
      <c r="A277" s="13">
        <v>43968</v>
      </c>
      <c r="B277" t="s">
        <v>15</v>
      </c>
      <c r="C277">
        <v>125</v>
      </c>
      <c r="D277">
        <v>20079</v>
      </c>
      <c r="E277">
        <v>18721</v>
      </c>
    </row>
    <row r="278" spans="1:5" x14ac:dyDescent="0.3">
      <c r="A278" s="13">
        <v>43968</v>
      </c>
      <c r="B278" t="s">
        <v>14</v>
      </c>
      <c r="C278">
        <v>129</v>
      </c>
      <c r="D278">
        <v>15744</v>
      </c>
      <c r="E278">
        <v>14685</v>
      </c>
    </row>
    <row r="279" spans="1:5" x14ac:dyDescent="0.3">
      <c r="A279" s="13">
        <v>43968</v>
      </c>
      <c r="B279" t="s">
        <v>12</v>
      </c>
      <c r="C279">
        <v>10</v>
      </c>
      <c r="D279">
        <v>591</v>
      </c>
      <c r="E279">
        <v>513</v>
      </c>
    </row>
    <row r="280" spans="1:5" x14ac:dyDescent="0.3">
      <c r="A280" s="13">
        <v>43969</v>
      </c>
      <c r="B280" t="s">
        <v>16</v>
      </c>
      <c r="C280">
        <v>36</v>
      </c>
      <c r="D280">
        <v>4885</v>
      </c>
      <c r="E280">
        <v>4502</v>
      </c>
    </row>
    <row r="281" spans="1:5" x14ac:dyDescent="0.3">
      <c r="A281" s="13">
        <v>43969</v>
      </c>
      <c r="B281" t="s">
        <v>11</v>
      </c>
      <c r="C281">
        <v>31</v>
      </c>
      <c r="D281">
        <v>5165</v>
      </c>
      <c r="E281">
        <v>4813</v>
      </c>
    </row>
    <row r="282" spans="1:5" x14ac:dyDescent="0.3">
      <c r="A282" s="13">
        <v>43969</v>
      </c>
      <c r="B282" t="s">
        <v>17</v>
      </c>
      <c r="C282">
        <v>21</v>
      </c>
      <c r="D282">
        <v>2136</v>
      </c>
      <c r="E282">
        <v>1947</v>
      </c>
    </row>
    <row r="283" spans="1:5" x14ac:dyDescent="0.3">
      <c r="A283" s="13">
        <v>43969</v>
      </c>
      <c r="B283" t="s">
        <v>10</v>
      </c>
      <c r="C283">
        <v>21</v>
      </c>
      <c r="D283">
        <v>1834</v>
      </c>
      <c r="E283">
        <v>1660</v>
      </c>
    </row>
    <row r="284" spans="1:5" x14ac:dyDescent="0.3">
      <c r="A284" s="13">
        <v>43969</v>
      </c>
      <c r="B284" t="s">
        <v>20</v>
      </c>
      <c r="C284">
        <v>19</v>
      </c>
      <c r="D284">
        <v>1741</v>
      </c>
      <c r="E284">
        <v>1597</v>
      </c>
    </row>
    <row r="285" spans="1:5" x14ac:dyDescent="0.3">
      <c r="A285" s="13">
        <v>43969</v>
      </c>
      <c r="B285" t="s">
        <v>22</v>
      </c>
      <c r="C285">
        <v>54</v>
      </c>
      <c r="D285">
        <v>12012</v>
      </c>
      <c r="E285">
        <v>11308</v>
      </c>
    </row>
    <row r="286" spans="1:5" x14ac:dyDescent="0.3">
      <c r="A286" s="13">
        <v>43969</v>
      </c>
      <c r="B286" t="s">
        <v>21</v>
      </c>
      <c r="C286">
        <v>60</v>
      </c>
      <c r="D286">
        <v>12460</v>
      </c>
      <c r="E286">
        <v>11665</v>
      </c>
    </row>
    <row r="287" spans="1:5" x14ac:dyDescent="0.3">
      <c r="A287" s="13">
        <v>43969</v>
      </c>
      <c r="B287" t="s">
        <v>13</v>
      </c>
      <c r="C287">
        <v>19</v>
      </c>
      <c r="D287">
        <v>1858</v>
      </c>
      <c r="E287">
        <v>1648</v>
      </c>
    </row>
    <row r="288" spans="1:5" x14ac:dyDescent="0.3">
      <c r="A288" s="13">
        <v>43969</v>
      </c>
      <c r="B288" t="s">
        <v>23</v>
      </c>
      <c r="C288">
        <v>16</v>
      </c>
      <c r="D288">
        <v>864</v>
      </c>
      <c r="E288">
        <v>765</v>
      </c>
    </row>
    <row r="289" spans="1:5" x14ac:dyDescent="0.3">
      <c r="A289" s="13">
        <v>43969</v>
      </c>
      <c r="B289" t="s">
        <v>18</v>
      </c>
      <c r="C289">
        <v>16</v>
      </c>
      <c r="D289">
        <v>925</v>
      </c>
      <c r="E289">
        <v>816</v>
      </c>
    </row>
    <row r="290" spans="1:5" x14ac:dyDescent="0.3">
      <c r="A290" s="13">
        <v>43969</v>
      </c>
      <c r="B290" t="s">
        <v>19</v>
      </c>
      <c r="C290">
        <v>15</v>
      </c>
      <c r="D290">
        <v>729</v>
      </c>
      <c r="E290">
        <v>636</v>
      </c>
    </row>
    <row r="291" spans="1:5" x14ac:dyDescent="0.3">
      <c r="A291" s="13">
        <v>43969</v>
      </c>
      <c r="B291" t="s">
        <v>15</v>
      </c>
      <c r="C291">
        <v>125</v>
      </c>
      <c r="D291">
        <v>20449</v>
      </c>
      <c r="E291">
        <v>19060</v>
      </c>
    </row>
    <row r="292" spans="1:5" x14ac:dyDescent="0.3">
      <c r="A292" s="13">
        <v>43969</v>
      </c>
      <c r="B292" t="s">
        <v>14</v>
      </c>
      <c r="C292">
        <v>129</v>
      </c>
      <c r="D292">
        <v>16110</v>
      </c>
      <c r="E292">
        <v>14992</v>
      </c>
    </row>
    <row r="293" spans="1:5" x14ac:dyDescent="0.3">
      <c r="A293" s="13">
        <v>43969</v>
      </c>
      <c r="B293" t="s">
        <v>12</v>
      </c>
      <c r="C293">
        <v>10</v>
      </c>
      <c r="D293">
        <v>645</v>
      </c>
      <c r="E293">
        <v>565</v>
      </c>
    </row>
    <row r="294" spans="1:5" x14ac:dyDescent="0.3">
      <c r="A294" s="13">
        <v>43970</v>
      </c>
      <c r="B294" t="s">
        <v>16</v>
      </c>
      <c r="C294">
        <v>36</v>
      </c>
      <c r="D294">
        <v>5094</v>
      </c>
      <c r="E294">
        <v>4716</v>
      </c>
    </row>
    <row r="295" spans="1:5" x14ac:dyDescent="0.3">
      <c r="A295" s="13">
        <v>43970</v>
      </c>
      <c r="B295" t="s">
        <v>11</v>
      </c>
      <c r="C295">
        <v>31</v>
      </c>
      <c r="D295">
        <v>5389</v>
      </c>
      <c r="E295">
        <v>5024</v>
      </c>
    </row>
    <row r="296" spans="1:5" x14ac:dyDescent="0.3">
      <c r="A296" s="13">
        <v>43970</v>
      </c>
      <c r="B296" t="s">
        <v>17</v>
      </c>
      <c r="C296">
        <v>21</v>
      </c>
      <c r="D296">
        <v>2245</v>
      </c>
      <c r="E296">
        <v>2053</v>
      </c>
    </row>
    <row r="297" spans="1:5" x14ac:dyDescent="0.3">
      <c r="A297" s="13">
        <v>43970</v>
      </c>
      <c r="B297" t="s">
        <v>10</v>
      </c>
      <c r="C297">
        <v>21</v>
      </c>
      <c r="D297">
        <v>1860</v>
      </c>
      <c r="E297">
        <v>1704</v>
      </c>
    </row>
    <row r="298" spans="1:5" x14ac:dyDescent="0.3">
      <c r="A298" s="13">
        <v>43970</v>
      </c>
      <c r="B298" t="s">
        <v>20</v>
      </c>
      <c r="C298">
        <v>19</v>
      </c>
      <c r="D298">
        <v>1831</v>
      </c>
      <c r="E298">
        <v>1667</v>
      </c>
    </row>
    <row r="299" spans="1:5" x14ac:dyDescent="0.3">
      <c r="A299" s="13">
        <v>43970</v>
      </c>
      <c r="B299" t="s">
        <v>22</v>
      </c>
      <c r="C299">
        <v>54</v>
      </c>
      <c r="D299">
        <v>13070</v>
      </c>
      <c r="E299">
        <v>12244</v>
      </c>
    </row>
    <row r="300" spans="1:5" x14ac:dyDescent="0.3">
      <c r="A300" s="13">
        <v>43970</v>
      </c>
      <c r="B300" t="s">
        <v>21</v>
      </c>
      <c r="C300">
        <v>60</v>
      </c>
      <c r="D300">
        <v>13867</v>
      </c>
      <c r="E300">
        <v>12987</v>
      </c>
    </row>
    <row r="301" spans="1:5" x14ac:dyDescent="0.3">
      <c r="A301" s="13">
        <v>43970</v>
      </c>
      <c r="B301" t="s">
        <v>13</v>
      </c>
      <c r="C301">
        <v>19</v>
      </c>
      <c r="D301">
        <v>1999</v>
      </c>
      <c r="E301">
        <v>1799</v>
      </c>
    </row>
    <row r="302" spans="1:5" x14ac:dyDescent="0.3">
      <c r="A302" s="13">
        <v>43970</v>
      </c>
      <c r="B302" t="s">
        <v>23</v>
      </c>
      <c r="C302">
        <v>17</v>
      </c>
      <c r="D302">
        <v>857</v>
      </c>
      <c r="E302">
        <v>757</v>
      </c>
    </row>
    <row r="303" spans="1:5" x14ac:dyDescent="0.3">
      <c r="A303" s="13">
        <v>43970</v>
      </c>
      <c r="B303" t="s">
        <v>18</v>
      </c>
      <c r="C303">
        <v>16</v>
      </c>
      <c r="D303">
        <v>1012</v>
      </c>
      <c r="E303">
        <v>900</v>
      </c>
    </row>
    <row r="304" spans="1:5" x14ac:dyDescent="0.3">
      <c r="A304" s="13">
        <v>43970</v>
      </c>
      <c r="B304" t="s">
        <v>19</v>
      </c>
      <c r="C304">
        <v>15</v>
      </c>
      <c r="D304">
        <v>930</v>
      </c>
      <c r="E304">
        <v>827</v>
      </c>
    </row>
    <row r="305" spans="1:5" x14ac:dyDescent="0.3">
      <c r="A305" s="13">
        <v>43970</v>
      </c>
      <c r="B305" t="s">
        <v>15</v>
      </c>
      <c r="C305">
        <v>125</v>
      </c>
      <c r="D305">
        <v>20771</v>
      </c>
      <c r="E305">
        <v>19338</v>
      </c>
    </row>
    <row r="306" spans="1:5" x14ac:dyDescent="0.3">
      <c r="A306" s="13">
        <v>43970</v>
      </c>
      <c r="B306" t="s">
        <v>14</v>
      </c>
      <c r="C306">
        <v>129</v>
      </c>
      <c r="D306">
        <v>16191</v>
      </c>
      <c r="E306">
        <v>15102</v>
      </c>
    </row>
    <row r="307" spans="1:5" x14ac:dyDescent="0.3">
      <c r="A307" s="13">
        <v>43970</v>
      </c>
      <c r="B307" t="s">
        <v>12</v>
      </c>
      <c r="C307">
        <v>10</v>
      </c>
      <c r="D307">
        <v>649</v>
      </c>
      <c r="E307">
        <v>568</v>
      </c>
    </row>
    <row r="308" spans="1:5" x14ac:dyDescent="0.3">
      <c r="A308" s="13">
        <v>43971</v>
      </c>
      <c r="B308" t="s">
        <v>16</v>
      </c>
      <c r="C308">
        <v>36</v>
      </c>
      <c r="D308">
        <v>5914</v>
      </c>
      <c r="E308">
        <v>5384</v>
      </c>
    </row>
    <row r="309" spans="1:5" x14ac:dyDescent="0.3">
      <c r="A309" s="13">
        <v>43971</v>
      </c>
      <c r="B309" t="s">
        <v>11</v>
      </c>
      <c r="C309">
        <v>31</v>
      </c>
      <c r="D309">
        <v>5698</v>
      </c>
      <c r="E309">
        <v>5258</v>
      </c>
    </row>
    <row r="310" spans="1:5" x14ac:dyDescent="0.3">
      <c r="A310" s="13">
        <v>43971</v>
      </c>
      <c r="B310" t="s">
        <v>17</v>
      </c>
      <c r="C310">
        <v>21</v>
      </c>
      <c r="D310">
        <v>2410</v>
      </c>
      <c r="E310">
        <v>2202</v>
      </c>
    </row>
    <row r="311" spans="1:5" x14ac:dyDescent="0.3">
      <c r="A311" s="13">
        <v>43971</v>
      </c>
      <c r="B311" t="s">
        <v>10</v>
      </c>
      <c r="C311">
        <v>21</v>
      </c>
      <c r="D311">
        <v>1921</v>
      </c>
      <c r="E311">
        <v>1767</v>
      </c>
    </row>
    <row r="312" spans="1:5" x14ac:dyDescent="0.3">
      <c r="A312" s="13">
        <v>43971</v>
      </c>
      <c r="B312" t="s">
        <v>20</v>
      </c>
      <c r="C312">
        <v>19</v>
      </c>
      <c r="D312">
        <v>1823</v>
      </c>
      <c r="E312">
        <v>1678</v>
      </c>
    </row>
    <row r="313" spans="1:5" x14ac:dyDescent="0.3">
      <c r="A313" s="13">
        <v>43971</v>
      </c>
      <c r="B313" t="s">
        <v>22</v>
      </c>
      <c r="C313">
        <v>54</v>
      </c>
      <c r="D313">
        <v>13298</v>
      </c>
      <c r="E313">
        <v>12428</v>
      </c>
    </row>
    <row r="314" spans="1:5" x14ac:dyDescent="0.3">
      <c r="A314" s="13">
        <v>43971</v>
      </c>
      <c r="B314" t="s">
        <v>21</v>
      </c>
      <c r="C314">
        <v>60</v>
      </c>
      <c r="D314">
        <v>13792</v>
      </c>
      <c r="E314">
        <v>12834</v>
      </c>
    </row>
    <row r="315" spans="1:5" x14ac:dyDescent="0.3">
      <c r="A315" s="13">
        <v>43971</v>
      </c>
      <c r="B315" t="s">
        <v>13</v>
      </c>
      <c r="C315">
        <v>19</v>
      </c>
      <c r="D315">
        <v>1889</v>
      </c>
      <c r="E315">
        <v>1690</v>
      </c>
    </row>
    <row r="316" spans="1:5" x14ac:dyDescent="0.3">
      <c r="A316" s="13">
        <v>43971</v>
      </c>
      <c r="B316" t="s">
        <v>23</v>
      </c>
      <c r="C316">
        <v>17</v>
      </c>
      <c r="D316">
        <v>890</v>
      </c>
      <c r="E316">
        <v>794</v>
      </c>
    </row>
    <row r="317" spans="1:5" x14ac:dyDescent="0.3">
      <c r="A317" s="13">
        <v>43971</v>
      </c>
      <c r="B317" t="s">
        <v>18</v>
      </c>
      <c r="C317">
        <v>16</v>
      </c>
      <c r="D317">
        <v>1050</v>
      </c>
      <c r="E317">
        <v>938</v>
      </c>
    </row>
    <row r="318" spans="1:5" x14ac:dyDescent="0.3">
      <c r="A318" s="13">
        <v>43971</v>
      </c>
      <c r="B318" t="s">
        <v>19</v>
      </c>
      <c r="C318">
        <v>15</v>
      </c>
      <c r="D318">
        <v>760</v>
      </c>
      <c r="E318">
        <v>664</v>
      </c>
    </row>
    <row r="319" spans="1:5" x14ac:dyDescent="0.3">
      <c r="A319" s="13">
        <v>43971</v>
      </c>
      <c r="B319" t="s">
        <v>15</v>
      </c>
      <c r="C319">
        <v>125</v>
      </c>
      <c r="D319">
        <v>21674</v>
      </c>
      <c r="E319">
        <v>20155</v>
      </c>
    </row>
    <row r="320" spans="1:5" x14ac:dyDescent="0.3">
      <c r="A320" s="13">
        <v>43971</v>
      </c>
      <c r="B320" t="s">
        <v>14</v>
      </c>
      <c r="C320">
        <v>129</v>
      </c>
      <c r="D320">
        <v>17095</v>
      </c>
      <c r="E320">
        <v>15919</v>
      </c>
    </row>
    <row r="321" spans="1:5" x14ac:dyDescent="0.3">
      <c r="A321" s="13">
        <v>43971</v>
      </c>
      <c r="B321" t="s">
        <v>12</v>
      </c>
      <c r="C321">
        <v>10</v>
      </c>
      <c r="D321">
        <v>745</v>
      </c>
      <c r="E321">
        <v>654</v>
      </c>
    </row>
    <row r="322" spans="1:5" x14ac:dyDescent="0.3">
      <c r="A322" s="13">
        <v>43972</v>
      </c>
      <c r="B322" t="s">
        <v>16</v>
      </c>
      <c r="C322">
        <v>36</v>
      </c>
      <c r="D322">
        <v>4816</v>
      </c>
      <c r="E322">
        <v>4452</v>
      </c>
    </row>
    <row r="323" spans="1:5" x14ac:dyDescent="0.3">
      <c r="A323" s="13">
        <v>43972</v>
      </c>
      <c r="B323" t="s">
        <v>11</v>
      </c>
      <c r="C323">
        <v>31</v>
      </c>
      <c r="D323">
        <v>5207</v>
      </c>
      <c r="E323">
        <v>4868</v>
      </c>
    </row>
    <row r="324" spans="1:5" x14ac:dyDescent="0.3">
      <c r="A324" s="13">
        <v>43972</v>
      </c>
      <c r="B324" t="s">
        <v>17</v>
      </c>
      <c r="C324">
        <v>21</v>
      </c>
      <c r="D324">
        <v>2335</v>
      </c>
      <c r="E324">
        <v>2126</v>
      </c>
    </row>
    <row r="325" spans="1:5" x14ac:dyDescent="0.3">
      <c r="A325" s="13">
        <v>43972</v>
      </c>
      <c r="B325" t="s">
        <v>10</v>
      </c>
      <c r="C325">
        <v>21</v>
      </c>
      <c r="D325">
        <v>1787</v>
      </c>
      <c r="E325">
        <v>1626</v>
      </c>
    </row>
    <row r="326" spans="1:5" x14ac:dyDescent="0.3">
      <c r="A326" s="13">
        <v>43972</v>
      </c>
      <c r="B326" t="s">
        <v>20</v>
      </c>
      <c r="C326">
        <v>19</v>
      </c>
      <c r="D326">
        <v>1650</v>
      </c>
      <c r="E326">
        <v>1505</v>
      </c>
    </row>
    <row r="327" spans="1:5" x14ac:dyDescent="0.3">
      <c r="A327" s="13">
        <v>43972</v>
      </c>
      <c r="B327" t="s">
        <v>22</v>
      </c>
      <c r="C327">
        <v>54</v>
      </c>
      <c r="D327">
        <v>13240</v>
      </c>
      <c r="E327">
        <v>12360</v>
      </c>
    </row>
    <row r="328" spans="1:5" x14ac:dyDescent="0.3">
      <c r="A328" s="13">
        <v>43972</v>
      </c>
      <c r="B328" t="s">
        <v>21</v>
      </c>
      <c r="C328">
        <v>60</v>
      </c>
      <c r="D328">
        <v>14005</v>
      </c>
      <c r="E328">
        <v>13002</v>
      </c>
    </row>
    <row r="329" spans="1:5" x14ac:dyDescent="0.3">
      <c r="A329" s="13">
        <v>43972</v>
      </c>
      <c r="B329" t="s">
        <v>13</v>
      </c>
      <c r="C329">
        <v>19</v>
      </c>
      <c r="D329">
        <v>1949</v>
      </c>
      <c r="E329">
        <v>1724</v>
      </c>
    </row>
    <row r="330" spans="1:5" x14ac:dyDescent="0.3">
      <c r="A330" s="13">
        <v>43972</v>
      </c>
      <c r="B330" t="s">
        <v>23</v>
      </c>
      <c r="C330">
        <v>18</v>
      </c>
      <c r="D330">
        <v>888</v>
      </c>
      <c r="E330">
        <v>786</v>
      </c>
    </row>
    <row r="331" spans="1:5" x14ac:dyDescent="0.3">
      <c r="A331" s="13">
        <v>43972</v>
      </c>
      <c r="B331" t="s">
        <v>18</v>
      </c>
      <c r="C331">
        <v>17</v>
      </c>
      <c r="D331">
        <v>1045</v>
      </c>
      <c r="E331">
        <v>930</v>
      </c>
    </row>
    <row r="332" spans="1:5" x14ac:dyDescent="0.3">
      <c r="A332" s="13">
        <v>43972</v>
      </c>
      <c r="B332" t="s">
        <v>19</v>
      </c>
      <c r="C332">
        <v>15</v>
      </c>
      <c r="D332">
        <v>749</v>
      </c>
      <c r="E332">
        <v>652</v>
      </c>
    </row>
    <row r="333" spans="1:5" x14ac:dyDescent="0.3">
      <c r="A333" s="13">
        <v>43972</v>
      </c>
      <c r="B333" t="s">
        <v>15</v>
      </c>
      <c r="C333">
        <v>125</v>
      </c>
      <c r="D333">
        <v>20911</v>
      </c>
      <c r="E333">
        <v>19358</v>
      </c>
    </row>
    <row r="334" spans="1:5" x14ac:dyDescent="0.3">
      <c r="A334" s="13">
        <v>43972</v>
      </c>
      <c r="B334" t="s">
        <v>14</v>
      </c>
      <c r="C334">
        <v>129</v>
      </c>
      <c r="D334">
        <v>16373</v>
      </c>
      <c r="E334">
        <v>15223</v>
      </c>
    </row>
    <row r="335" spans="1:5" x14ac:dyDescent="0.3">
      <c r="A335" s="13">
        <v>43972</v>
      </c>
      <c r="B335" t="s">
        <v>12</v>
      </c>
      <c r="C335">
        <v>10</v>
      </c>
      <c r="D335">
        <v>677</v>
      </c>
      <c r="E335">
        <v>591</v>
      </c>
    </row>
    <row r="336" spans="1:5" x14ac:dyDescent="0.3">
      <c r="A336" s="13">
        <v>43973</v>
      </c>
      <c r="B336" t="s">
        <v>16</v>
      </c>
      <c r="C336">
        <v>36</v>
      </c>
      <c r="D336">
        <v>4857</v>
      </c>
      <c r="E336">
        <v>4456</v>
      </c>
    </row>
    <row r="337" spans="1:5" x14ac:dyDescent="0.3">
      <c r="A337" s="13">
        <v>43973</v>
      </c>
      <c r="B337" t="s">
        <v>11</v>
      </c>
      <c r="C337">
        <v>31</v>
      </c>
      <c r="D337">
        <v>5965</v>
      </c>
      <c r="E337">
        <v>5533</v>
      </c>
    </row>
    <row r="338" spans="1:5" x14ac:dyDescent="0.3">
      <c r="A338" s="13">
        <v>43973</v>
      </c>
      <c r="B338" t="s">
        <v>17</v>
      </c>
      <c r="C338">
        <v>21</v>
      </c>
      <c r="D338">
        <v>2861</v>
      </c>
      <c r="E338">
        <v>2612</v>
      </c>
    </row>
    <row r="339" spans="1:5" x14ac:dyDescent="0.3">
      <c r="A339" s="13">
        <v>43973</v>
      </c>
      <c r="B339" t="s">
        <v>10</v>
      </c>
      <c r="C339">
        <v>21</v>
      </c>
      <c r="D339">
        <v>2046</v>
      </c>
      <c r="E339">
        <v>1853</v>
      </c>
    </row>
    <row r="340" spans="1:5" x14ac:dyDescent="0.3">
      <c r="A340" s="13">
        <v>43973</v>
      </c>
      <c r="B340" t="s">
        <v>20</v>
      </c>
      <c r="C340">
        <v>19</v>
      </c>
      <c r="D340">
        <v>1859</v>
      </c>
      <c r="E340">
        <v>1697</v>
      </c>
    </row>
    <row r="341" spans="1:5" x14ac:dyDescent="0.3">
      <c r="A341" s="13">
        <v>43973</v>
      </c>
      <c r="B341" t="s">
        <v>22</v>
      </c>
      <c r="C341">
        <v>54</v>
      </c>
      <c r="D341">
        <v>13014</v>
      </c>
      <c r="E341">
        <v>12095</v>
      </c>
    </row>
    <row r="342" spans="1:5" x14ac:dyDescent="0.3">
      <c r="A342" s="13">
        <v>43973</v>
      </c>
      <c r="B342" t="s">
        <v>21</v>
      </c>
      <c r="C342">
        <v>60</v>
      </c>
      <c r="D342">
        <v>14050</v>
      </c>
      <c r="E342">
        <v>13027</v>
      </c>
    </row>
    <row r="343" spans="1:5" x14ac:dyDescent="0.3">
      <c r="A343" s="13">
        <v>43973</v>
      </c>
      <c r="B343" t="s">
        <v>13</v>
      </c>
      <c r="C343">
        <v>20</v>
      </c>
      <c r="D343">
        <v>2306</v>
      </c>
      <c r="E343">
        <v>2054</v>
      </c>
    </row>
    <row r="344" spans="1:5" x14ac:dyDescent="0.3">
      <c r="A344" s="13">
        <v>43973</v>
      </c>
      <c r="B344" t="s">
        <v>23</v>
      </c>
      <c r="C344">
        <v>18</v>
      </c>
      <c r="D344">
        <v>985</v>
      </c>
      <c r="E344">
        <v>861</v>
      </c>
    </row>
    <row r="345" spans="1:5" x14ac:dyDescent="0.3">
      <c r="A345" s="13">
        <v>43973</v>
      </c>
      <c r="B345" t="s">
        <v>18</v>
      </c>
      <c r="C345">
        <v>17</v>
      </c>
      <c r="D345">
        <v>1268</v>
      </c>
      <c r="E345">
        <v>1129</v>
      </c>
    </row>
    <row r="346" spans="1:5" x14ac:dyDescent="0.3">
      <c r="A346" s="13">
        <v>43973</v>
      </c>
      <c r="B346" t="s">
        <v>19</v>
      </c>
      <c r="C346">
        <v>15</v>
      </c>
      <c r="D346">
        <v>903</v>
      </c>
      <c r="E346">
        <v>792</v>
      </c>
    </row>
    <row r="347" spans="1:5" x14ac:dyDescent="0.3">
      <c r="A347" s="13">
        <v>43973</v>
      </c>
      <c r="B347" t="s">
        <v>15</v>
      </c>
      <c r="C347">
        <v>125</v>
      </c>
      <c r="D347">
        <v>21427</v>
      </c>
      <c r="E347">
        <v>19799</v>
      </c>
    </row>
    <row r="348" spans="1:5" x14ac:dyDescent="0.3">
      <c r="A348" s="13">
        <v>43973</v>
      </c>
      <c r="B348" t="s">
        <v>14</v>
      </c>
      <c r="C348">
        <v>129</v>
      </c>
      <c r="D348">
        <v>17088</v>
      </c>
      <c r="E348">
        <v>15804</v>
      </c>
    </row>
    <row r="349" spans="1:5" x14ac:dyDescent="0.3">
      <c r="A349" s="13">
        <v>43973</v>
      </c>
      <c r="B349" t="s">
        <v>12</v>
      </c>
      <c r="C349">
        <v>10</v>
      </c>
      <c r="D349">
        <v>965</v>
      </c>
      <c r="E349">
        <v>861</v>
      </c>
    </row>
    <row r="350" spans="1:5" x14ac:dyDescent="0.3">
      <c r="A350" s="13">
        <v>43974</v>
      </c>
      <c r="B350" t="s">
        <v>16</v>
      </c>
      <c r="C350">
        <v>36</v>
      </c>
      <c r="D350">
        <v>5651</v>
      </c>
      <c r="E350">
        <v>5212</v>
      </c>
    </row>
    <row r="351" spans="1:5" x14ac:dyDescent="0.3">
      <c r="A351" s="13">
        <v>43974</v>
      </c>
      <c r="B351" t="s">
        <v>11</v>
      </c>
      <c r="C351">
        <v>31</v>
      </c>
      <c r="D351">
        <v>6276</v>
      </c>
      <c r="E351">
        <v>5801</v>
      </c>
    </row>
    <row r="352" spans="1:5" x14ac:dyDescent="0.3">
      <c r="A352" s="13">
        <v>43974</v>
      </c>
      <c r="B352" t="s">
        <v>17</v>
      </c>
      <c r="C352">
        <v>21</v>
      </c>
      <c r="D352">
        <v>2460</v>
      </c>
      <c r="E352">
        <v>2226</v>
      </c>
    </row>
    <row r="353" spans="1:5" x14ac:dyDescent="0.3">
      <c r="A353" s="13">
        <v>43974</v>
      </c>
      <c r="B353" t="s">
        <v>10</v>
      </c>
      <c r="C353">
        <v>21</v>
      </c>
      <c r="D353">
        <v>2340</v>
      </c>
      <c r="E353">
        <v>2146</v>
      </c>
    </row>
    <row r="354" spans="1:5" x14ac:dyDescent="0.3">
      <c r="A354" s="13">
        <v>43974</v>
      </c>
      <c r="B354" t="s">
        <v>20</v>
      </c>
      <c r="C354">
        <v>19</v>
      </c>
      <c r="D354">
        <v>2195</v>
      </c>
      <c r="E354">
        <v>1999</v>
      </c>
    </row>
    <row r="355" spans="1:5" x14ac:dyDescent="0.3">
      <c r="A355" s="13">
        <v>43974</v>
      </c>
      <c r="B355" t="s">
        <v>22</v>
      </c>
      <c r="C355">
        <v>54</v>
      </c>
      <c r="D355">
        <v>16221</v>
      </c>
      <c r="E355">
        <v>15065</v>
      </c>
    </row>
    <row r="356" spans="1:5" x14ac:dyDescent="0.3">
      <c r="A356" s="13">
        <v>43974</v>
      </c>
      <c r="B356" t="s">
        <v>21</v>
      </c>
      <c r="C356">
        <v>60</v>
      </c>
      <c r="D356">
        <v>17295</v>
      </c>
      <c r="E356">
        <v>16010</v>
      </c>
    </row>
    <row r="357" spans="1:5" x14ac:dyDescent="0.3">
      <c r="A357" s="13">
        <v>43974</v>
      </c>
      <c r="B357" t="s">
        <v>13</v>
      </c>
      <c r="C357">
        <v>20</v>
      </c>
      <c r="D357">
        <v>2266</v>
      </c>
      <c r="E357">
        <v>1993</v>
      </c>
    </row>
    <row r="358" spans="1:5" x14ac:dyDescent="0.3">
      <c r="A358" s="13">
        <v>43974</v>
      </c>
      <c r="B358" t="s">
        <v>23</v>
      </c>
      <c r="C358">
        <v>18</v>
      </c>
      <c r="D358">
        <v>1031</v>
      </c>
      <c r="E358">
        <v>918</v>
      </c>
    </row>
    <row r="359" spans="1:5" x14ac:dyDescent="0.3">
      <c r="A359" s="13">
        <v>43974</v>
      </c>
      <c r="B359" t="s">
        <v>18</v>
      </c>
      <c r="C359">
        <v>17</v>
      </c>
      <c r="D359">
        <v>1294</v>
      </c>
      <c r="E359">
        <v>1155</v>
      </c>
    </row>
    <row r="360" spans="1:5" x14ac:dyDescent="0.3">
      <c r="A360" s="13">
        <v>43974</v>
      </c>
      <c r="B360" t="s">
        <v>19</v>
      </c>
      <c r="C360">
        <v>15</v>
      </c>
      <c r="D360">
        <v>840</v>
      </c>
      <c r="E360">
        <v>725</v>
      </c>
    </row>
    <row r="361" spans="1:5" x14ac:dyDescent="0.3">
      <c r="A361" s="13">
        <v>43974</v>
      </c>
      <c r="B361" t="s">
        <v>15</v>
      </c>
      <c r="C361">
        <v>125</v>
      </c>
      <c r="D361">
        <v>24574</v>
      </c>
      <c r="E361">
        <v>22609</v>
      </c>
    </row>
    <row r="362" spans="1:5" x14ac:dyDescent="0.3">
      <c r="A362" s="13">
        <v>43974</v>
      </c>
      <c r="B362" t="s">
        <v>14</v>
      </c>
      <c r="C362">
        <v>129</v>
      </c>
      <c r="D362">
        <v>19856</v>
      </c>
      <c r="E362">
        <v>18325</v>
      </c>
    </row>
    <row r="363" spans="1:5" x14ac:dyDescent="0.3">
      <c r="A363" s="13">
        <v>43974</v>
      </c>
      <c r="B363" t="s">
        <v>12</v>
      </c>
      <c r="C363">
        <v>10</v>
      </c>
      <c r="D363">
        <v>828</v>
      </c>
      <c r="E363">
        <v>734</v>
      </c>
    </row>
    <row r="364" spans="1:5" x14ac:dyDescent="0.3">
      <c r="A364" s="13">
        <v>43975</v>
      </c>
      <c r="B364" t="s">
        <v>16</v>
      </c>
      <c r="C364">
        <v>36</v>
      </c>
      <c r="D364">
        <v>4915</v>
      </c>
      <c r="E364">
        <v>4562</v>
      </c>
    </row>
    <row r="365" spans="1:5" x14ac:dyDescent="0.3">
      <c r="A365" s="13">
        <v>43975</v>
      </c>
      <c r="B365" t="s">
        <v>11</v>
      </c>
      <c r="C365">
        <v>31</v>
      </c>
      <c r="D365">
        <v>5035</v>
      </c>
      <c r="E365">
        <v>4683</v>
      </c>
    </row>
    <row r="366" spans="1:5" x14ac:dyDescent="0.3">
      <c r="A366" s="13">
        <v>43975</v>
      </c>
      <c r="B366" t="s">
        <v>17</v>
      </c>
      <c r="C366">
        <v>21</v>
      </c>
      <c r="D366">
        <v>2254</v>
      </c>
      <c r="E366">
        <v>2061</v>
      </c>
    </row>
    <row r="367" spans="1:5" x14ac:dyDescent="0.3">
      <c r="A367" s="13">
        <v>43975</v>
      </c>
      <c r="B367" t="s">
        <v>10</v>
      </c>
      <c r="C367">
        <v>20</v>
      </c>
      <c r="D367">
        <v>1999</v>
      </c>
      <c r="E367">
        <v>1829</v>
      </c>
    </row>
    <row r="368" spans="1:5" x14ac:dyDescent="0.3">
      <c r="A368" s="13">
        <v>43975</v>
      </c>
      <c r="B368" t="s">
        <v>20</v>
      </c>
      <c r="C368">
        <v>19</v>
      </c>
      <c r="D368">
        <v>1868</v>
      </c>
      <c r="E368">
        <v>1706</v>
      </c>
    </row>
    <row r="369" spans="1:5" x14ac:dyDescent="0.3">
      <c r="A369" s="13">
        <v>43975</v>
      </c>
      <c r="B369" t="s">
        <v>22</v>
      </c>
      <c r="C369">
        <v>54</v>
      </c>
      <c r="D369">
        <v>12211</v>
      </c>
      <c r="E369">
        <v>11427</v>
      </c>
    </row>
    <row r="370" spans="1:5" x14ac:dyDescent="0.3">
      <c r="A370" s="13">
        <v>43975</v>
      </c>
      <c r="B370" t="s">
        <v>21</v>
      </c>
      <c r="C370">
        <v>60</v>
      </c>
      <c r="D370">
        <v>12822</v>
      </c>
      <c r="E370">
        <v>11916</v>
      </c>
    </row>
    <row r="371" spans="1:5" x14ac:dyDescent="0.3">
      <c r="A371" s="13">
        <v>43975</v>
      </c>
      <c r="B371" t="s">
        <v>13</v>
      </c>
      <c r="C371">
        <v>20</v>
      </c>
      <c r="D371">
        <v>2015</v>
      </c>
      <c r="E371">
        <v>1803</v>
      </c>
    </row>
    <row r="372" spans="1:5" x14ac:dyDescent="0.3">
      <c r="A372" s="13">
        <v>43975</v>
      </c>
      <c r="B372" t="s">
        <v>23</v>
      </c>
      <c r="C372">
        <v>18</v>
      </c>
      <c r="D372">
        <v>1006</v>
      </c>
      <c r="E372">
        <v>904</v>
      </c>
    </row>
    <row r="373" spans="1:5" x14ac:dyDescent="0.3">
      <c r="A373" s="13">
        <v>43975</v>
      </c>
      <c r="B373" t="s">
        <v>18</v>
      </c>
      <c r="C373">
        <v>17</v>
      </c>
      <c r="D373">
        <v>1128</v>
      </c>
      <c r="E373">
        <v>1001</v>
      </c>
    </row>
    <row r="374" spans="1:5" x14ac:dyDescent="0.3">
      <c r="A374" s="13">
        <v>43975</v>
      </c>
      <c r="B374" t="s">
        <v>19</v>
      </c>
      <c r="C374">
        <v>15</v>
      </c>
      <c r="D374">
        <v>779</v>
      </c>
      <c r="E374">
        <v>673</v>
      </c>
    </row>
    <row r="375" spans="1:5" x14ac:dyDescent="0.3">
      <c r="A375" s="13">
        <v>43975</v>
      </c>
      <c r="B375" t="s">
        <v>15</v>
      </c>
      <c r="C375">
        <v>125</v>
      </c>
      <c r="D375">
        <v>21004</v>
      </c>
      <c r="E375">
        <v>19556</v>
      </c>
    </row>
    <row r="376" spans="1:5" x14ac:dyDescent="0.3">
      <c r="A376" s="13">
        <v>43975</v>
      </c>
      <c r="B376" t="s">
        <v>14</v>
      </c>
      <c r="C376">
        <v>129</v>
      </c>
      <c r="D376">
        <v>16432</v>
      </c>
      <c r="E376">
        <v>15345</v>
      </c>
    </row>
    <row r="377" spans="1:5" x14ac:dyDescent="0.3">
      <c r="A377" s="13">
        <v>43975</v>
      </c>
      <c r="B377" t="s">
        <v>12</v>
      </c>
      <c r="C377">
        <v>10</v>
      </c>
      <c r="D377">
        <v>639</v>
      </c>
      <c r="E377">
        <v>557</v>
      </c>
    </row>
    <row r="378" spans="1:5" x14ac:dyDescent="0.3">
      <c r="A378" s="13">
        <v>43976</v>
      </c>
      <c r="B378" t="s">
        <v>16</v>
      </c>
      <c r="C378">
        <v>36</v>
      </c>
      <c r="D378">
        <v>4641</v>
      </c>
      <c r="E378">
        <v>4274</v>
      </c>
    </row>
    <row r="379" spans="1:5" x14ac:dyDescent="0.3">
      <c r="A379" s="13">
        <v>43976</v>
      </c>
      <c r="B379" t="s">
        <v>11</v>
      </c>
      <c r="C379">
        <v>31</v>
      </c>
      <c r="D379">
        <v>5210</v>
      </c>
      <c r="E379">
        <v>4841</v>
      </c>
    </row>
    <row r="380" spans="1:5" x14ac:dyDescent="0.3">
      <c r="A380" s="13">
        <v>43976</v>
      </c>
      <c r="B380" t="s">
        <v>17</v>
      </c>
      <c r="C380">
        <v>21</v>
      </c>
      <c r="D380">
        <v>2330</v>
      </c>
      <c r="E380">
        <v>2142</v>
      </c>
    </row>
    <row r="381" spans="1:5" x14ac:dyDescent="0.3">
      <c r="A381" s="13">
        <v>43976</v>
      </c>
      <c r="B381" t="s">
        <v>10</v>
      </c>
      <c r="C381">
        <v>20</v>
      </c>
      <c r="D381">
        <v>2087</v>
      </c>
      <c r="E381">
        <v>1914</v>
      </c>
    </row>
    <row r="382" spans="1:5" x14ac:dyDescent="0.3">
      <c r="A382" s="13">
        <v>43976</v>
      </c>
      <c r="B382" t="s">
        <v>20</v>
      </c>
      <c r="C382">
        <v>20</v>
      </c>
      <c r="D382">
        <v>1899</v>
      </c>
      <c r="E382">
        <v>1738</v>
      </c>
    </row>
    <row r="383" spans="1:5" x14ac:dyDescent="0.3">
      <c r="A383" s="13">
        <v>43976</v>
      </c>
      <c r="B383" t="s">
        <v>22</v>
      </c>
      <c r="C383">
        <v>54</v>
      </c>
      <c r="D383">
        <v>12336</v>
      </c>
      <c r="E383">
        <v>11519</v>
      </c>
    </row>
    <row r="384" spans="1:5" x14ac:dyDescent="0.3">
      <c r="A384" s="13">
        <v>43976</v>
      </c>
      <c r="B384" t="s">
        <v>21</v>
      </c>
      <c r="C384">
        <v>59</v>
      </c>
      <c r="D384">
        <v>12983</v>
      </c>
      <c r="E384">
        <v>12056</v>
      </c>
    </row>
    <row r="385" spans="1:5" x14ac:dyDescent="0.3">
      <c r="A385" s="13">
        <v>43976</v>
      </c>
      <c r="B385" t="s">
        <v>13</v>
      </c>
      <c r="C385">
        <v>20</v>
      </c>
      <c r="D385">
        <v>2011</v>
      </c>
      <c r="E385">
        <v>1791</v>
      </c>
    </row>
    <row r="386" spans="1:5" x14ac:dyDescent="0.3">
      <c r="A386" s="13">
        <v>43976</v>
      </c>
      <c r="B386" t="s">
        <v>23</v>
      </c>
      <c r="C386">
        <v>18</v>
      </c>
      <c r="D386">
        <v>989</v>
      </c>
      <c r="E386">
        <v>887</v>
      </c>
    </row>
    <row r="387" spans="1:5" x14ac:dyDescent="0.3">
      <c r="A387" s="13">
        <v>43976</v>
      </c>
      <c r="B387" t="s">
        <v>18</v>
      </c>
      <c r="C387">
        <v>17</v>
      </c>
      <c r="D387">
        <v>1142</v>
      </c>
      <c r="E387">
        <v>1020</v>
      </c>
    </row>
    <row r="388" spans="1:5" x14ac:dyDescent="0.3">
      <c r="A388" s="13">
        <v>43976</v>
      </c>
      <c r="B388" t="s">
        <v>19</v>
      </c>
      <c r="C388">
        <v>15</v>
      </c>
      <c r="D388">
        <v>835</v>
      </c>
      <c r="E388">
        <v>736</v>
      </c>
    </row>
    <row r="389" spans="1:5" x14ac:dyDescent="0.3">
      <c r="A389" s="13">
        <v>43976</v>
      </c>
      <c r="B389" t="s">
        <v>15</v>
      </c>
      <c r="C389">
        <v>124</v>
      </c>
      <c r="D389">
        <v>20358</v>
      </c>
      <c r="E389">
        <v>18890</v>
      </c>
    </row>
    <row r="390" spans="1:5" x14ac:dyDescent="0.3">
      <c r="A390" s="13">
        <v>43976</v>
      </c>
      <c r="B390" t="s">
        <v>14</v>
      </c>
      <c r="C390">
        <v>129</v>
      </c>
      <c r="D390">
        <v>15822</v>
      </c>
      <c r="E390">
        <v>14753</v>
      </c>
    </row>
    <row r="391" spans="1:5" x14ac:dyDescent="0.3">
      <c r="A391" s="13">
        <v>43976</v>
      </c>
      <c r="B391" t="s">
        <v>12</v>
      </c>
      <c r="C391">
        <v>10</v>
      </c>
      <c r="D391">
        <v>739</v>
      </c>
      <c r="E391">
        <v>642</v>
      </c>
    </row>
    <row r="392" spans="1:5" x14ac:dyDescent="0.3">
      <c r="A392" s="13">
        <v>43977</v>
      </c>
      <c r="B392" t="s">
        <v>16</v>
      </c>
      <c r="C392">
        <v>36</v>
      </c>
      <c r="D392">
        <v>4770</v>
      </c>
      <c r="E392">
        <v>4424</v>
      </c>
    </row>
    <row r="393" spans="1:5" x14ac:dyDescent="0.3">
      <c r="A393" s="13">
        <v>43977</v>
      </c>
      <c r="B393" t="s">
        <v>11</v>
      </c>
      <c r="C393">
        <v>31</v>
      </c>
      <c r="D393">
        <v>5493</v>
      </c>
      <c r="E393">
        <v>5119</v>
      </c>
    </row>
    <row r="394" spans="1:5" x14ac:dyDescent="0.3">
      <c r="A394" s="13">
        <v>43977</v>
      </c>
      <c r="B394" t="s">
        <v>17</v>
      </c>
      <c r="C394">
        <v>21</v>
      </c>
      <c r="D394">
        <v>2418</v>
      </c>
      <c r="E394">
        <v>2215</v>
      </c>
    </row>
    <row r="395" spans="1:5" x14ac:dyDescent="0.3">
      <c r="A395" s="13">
        <v>43977</v>
      </c>
      <c r="B395" t="s">
        <v>10</v>
      </c>
      <c r="C395">
        <v>20</v>
      </c>
      <c r="D395">
        <v>2044</v>
      </c>
      <c r="E395">
        <v>1863</v>
      </c>
    </row>
    <row r="396" spans="1:5" x14ac:dyDescent="0.3">
      <c r="A396" s="13">
        <v>43977</v>
      </c>
      <c r="B396" t="s">
        <v>20</v>
      </c>
      <c r="C396">
        <v>20</v>
      </c>
      <c r="D396">
        <v>1814</v>
      </c>
      <c r="E396">
        <v>1655</v>
      </c>
    </row>
    <row r="397" spans="1:5" x14ac:dyDescent="0.3">
      <c r="A397" s="13">
        <v>43977</v>
      </c>
      <c r="B397" t="s">
        <v>22</v>
      </c>
      <c r="C397">
        <v>54</v>
      </c>
      <c r="D397">
        <v>14482</v>
      </c>
      <c r="E397">
        <v>13510</v>
      </c>
    </row>
    <row r="398" spans="1:5" x14ac:dyDescent="0.3">
      <c r="A398" s="13">
        <v>43977</v>
      </c>
      <c r="B398" t="s">
        <v>21</v>
      </c>
      <c r="C398">
        <v>59</v>
      </c>
      <c r="D398">
        <v>15369</v>
      </c>
      <c r="E398">
        <v>14299</v>
      </c>
    </row>
    <row r="399" spans="1:5" x14ac:dyDescent="0.3">
      <c r="A399" s="13">
        <v>43977</v>
      </c>
      <c r="B399" t="s">
        <v>13</v>
      </c>
      <c r="C399">
        <v>20</v>
      </c>
      <c r="D399">
        <v>2036</v>
      </c>
      <c r="E399">
        <v>1790</v>
      </c>
    </row>
    <row r="400" spans="1:5" x14ac:dyDescent="0.3">
      <c r="A400" s="13">
        <v>43977</v>
      </c>
      <c r="B400" t="s">
        <v>23</v>
      </c>
      <c r="C400">
        <v>18</v>
      </c>
      <c r="D400">
        <v>914</v>
      </c>
      <c r="E400">
        <v>804</v>
      </c>
    </row>
    <row r="401" spans="1:5" x14ac:dyDescent="0.3">
      <c r="A401" s="13">
        <v>43977</v>
      </c>
      <c r="B401" t="s">
        <v>18</v>
      </c>
      <c r="C401">
        <v>17</v>
      </c>
      <c r="D401">
        <v>1140</v>
      </c>
      <c r="E401">
        <v>1016</v>
      </c>
    </row>
    <row r="402" spans="1:5" x14ac:dyDescent="0.3">
      <c r="A402" s="13">
        <v>43977</v>
      </c>
      <c r="B402" t="s">
        <v>19</v>
      </c>
      <c r="C402">
        <v>15</v>
      </c>
      <c r="D402">
        <v>812</v>
      </c>
      <c r="E402">
        <v>711</v>
      </c>
    </row>
    <row r="403" spans="1:5" x14ac:dyDescent="0.3">
      <c r="A403" s="13">
        <v>43977</v>
      </c>
      <c r="B403" t="s">
        <v>15</v>
      </c>
      <c r="C403">
        <v>124</v>
      </c>
      <c r="D403">
        <v>21153</v>
      </c>
      <c r="E403">
        <v>19673</v>
      </c>
    </row>
    <row r="404" spans="1:5" x14ac:dyDescent="0.3">
      <c r="A404" s="13">
        <v>43977</v>
      </c>
      <c r="B404" t="s">
        <v>14</v>
      </c>
      <c r="C404">
        <v>129</v>
      </c>
      <c r="D404">
        <v>16459</v>
      </c>
      <c r="E404">
        <v>15355</v>
      </c>
    </row>
    <row r="405" spans="1:5" x14ac:dyDescent="0.3">
      <c r="A405" s="13">
        <v>43977</v>
      </c>
      <c r="B405" t="s">
        <v>12</v>
      </c>
      <c r="C405">
        <v>10</v>
      </c>
      <c r="D405">
        <v>692</v>
      </c>
      <c r="E405">
        <v>601</v>
      </c>
    </row>
    <row r="406" spans="1:5" x14ac:dyDescent="0.3">
      <c r="A406" s="13">
        <v>43977</v>
      </c>
      <c r="B406" t="s">
        <v>24</v>
      </c>
      <c r="C406">
        <v>7</v>
      </c>
      <c r="D406">
        <v>577</v>
      </c>
      <c r="E406">
        <v>389</v>
      </c>
    </row>
    <row r="407" spans="1:5" x14ac:dyDescent="0.3">
      <c r="A407" s="13">
        <v>43978</v>
      </c>
      <c r="B407" t="s">
        <v>16</v>
      </c>
      <c r="C407">
        <v>36</v>
      </c>
      <c r="D407">
        <v>4951</v>
      </c>
      <c r="E407">
        <v>4584</v>
      </c>
    </row>
    <row r="408" spans="1:5" x14ac:dyDescent="0.3">
      <c r="A408" s="13">
        <v>43978</v>
      </c>
      <c r="B408" t="s">
        <v>11</v>
      </c>
      <c r="C408">
        <v>31</v>
      </c>
      <c r="D408">
        <v>5330</v>
      </c>
      <c r="E408">
        <v>4977</v>
      </c>
    </row>
    <row r="409" spans="1:5" x14ac:dyDescent="0.3">
      <c r="A409" s="13">
        <v>43978</v>
      </c>
      <c r="B409" t="s">
        <v>17</v>
      </c>
      <c r="C409">
        <v>21</v>
      </c>
      <c r="D409">
        <v>2430</v>
      </c>
      <c r="E409">
        <v>2216</v>
      </c>
    </row>
    <row r="410" spans="1:5" x14ac:dyDescent="0.3">
      <c r="A410" s="13">
        <v>43978</v>
      </c>
      <c r="B410" t="s">
        <v>10</v>
      </c>
      <c r="C410">
        <v>20</v>
      </c>
      <c r="D410">
        <v>2079</v>
      </c>
      <c r="E410">
        <v>1893</v>
      </c>
    </row>
    <row r="411" spans="1:5" x14ac:dyDescent="0.3">
      <c r="A411" s="13">
        <v>43978</v>
      </c>
      <c r="B411" t="s">
        <v>20</v>
      </c>
      <c r="C411">
        <v>20</v>
      </c>
      <c r="D411">
        <v>1873</v>
      </c>
      <c r="E411">
        <v>1715</v>
      </c>
    </row>
    <row r="412" spans="1:5" x14ac:dyDescent="0.3">
      <c r="A412" s="13">
        <v>43978</v>
      </c>
      <c r="B412" t="s">
        <v>22</v>
      </c>
      <c r="C412">
        <v>54</v>
      </c>
      <c r="D412">
        <v>13091</v>
      </c>
      <c r="E412">
        <v>12216</v>
      </c>
    </row>
    <row r="413" spans="1:5" x14ac:dyDescent="0.3">
      <c r="A413" s="13">
        <v>43978</v>
      </c>
      <c r="B413" t="s">
        <v>21</v>
      </c>
      <c r="C413">
        <v>59</v>
      </c>
      <c r="D413">
        <v>13942</v>
      </c>
      <c r="E413">
        <v>12986</v>
      </c>
    </row>
    <row r="414" spans="1:5" x14ac:dyDescent="0.3">
      <c r="A414" s="13">
        <v>43978</v>
      </c>
      <c r="B414" t="s">
        <v>13</v>
      </c>
      <c r="C414">
        <v>20</v>
      </c>
      <c r="D414">
        <v>2079</v>
      </c>
      <c r="E414">
        <v>1856</v>
      </c>
    </row>
    <row r="415" spans="1:5" x14ac:dyDescent="0.3">
      <c r="A415" s="13">
        <v>43978</v>
      </c>
      <c r="B415" t="s">
        <v>23</v>
      </c>
      <c r="C415">
        <v>18</v>
      </c>
      <c r="D415">
        <v>962</v>
      </c>
      <c r="E415">
        <v>859</v>
      </c>
    </row>
    <row r="416" spans="1:5" x14ac:dyDescent="0.3">
      <c r="A416" s="13">
        <v>43978</v>
      </c>
      <c r="B416" t="s">
        <v>18</v>
      </c>
      <c r="C416">
        <v>17</v>
      </c>
      <c r="D416">
        <v>1203</v>
      </c>
      <c r="E416">
        <v>1077</v>
      </c>
    </row>
    <row r="417" spans="1:5" x14ac:dyDescent="0.3">
      <c r="A417" s="13">
        <v>43978</v>
      </c>
      <c r="B417" t="s">
        <v>19</v>
      </c>
      <c r="C417">
        <v>15</v>
      </c>
      <c r="D417">
        <v>809</v>
      </c>
      <c r="E417">
        <v>702</v>
      </c>
    </row>
    <row r="418" spans="1:5" x14ac:dyDescent="0.3">
      <c r="A418" s="13">
        <v>43978</v>
      </c>
      <c r="B418" t="s">
        <v>15</v>
      </c>
      <c r="C418">
        <v>124</v>
      </c>
      <c r="D418">
        <v>21384</v>
      </c>
      <c r="E418">
        <v>19897</v>
      </c>
    </row>
    <row r="419" spans="1:5" x14ac:dyDescent="0.3">
      <c r="A419" s="13">
        <v>43978</v>
      </c>
      <c r="B419" t="s">
        <v>14</v>
      </c>
      <c r="C419">
        <v>129</v>
      </c>
      <c r="D419">
        <v>17115</v>
      </c>
      <c r="E419">
        <v>15962</v>
      </c>
    </row>
    <row r="420" spans="1:5" x14ac:dyDescent="0.3">
      <c r="A420" s="13">
        <v>43978</v>
      </c>
      <c r="B420" t="s">
        <v>12</v>
      </c>
      <c r="C420">
        <v>10</v>
      </c>
      <c r="D420">
        <v>757</v>
      </c>
      <c r="E420">
        <v>660</v>
      </c>
    </row>
    <row r="421" spans="1:5" x14ac:dyDescent="0.3">
      <c r="A421" s="13">
        <v>43978</v>
      </c>
      <c r="B421" t="s">
        <v>24</v>
      </c>
      <c r="C421">
        <v>7</v>
      </c>
      <c r="D421">
        <v>409</v>
      </c>
      <c r="E421">
        <v>329</v>
      </c>
    </row>
    <row r="422" spans="1:5" x14ac:dyDescent="0.3">
      <c r="A422" s="13">
        <v>43979</v>
      </c>
      <c r="B422" t="s">
        <v>16</v>
      </c>
      <c r="C422">
        <v>37</v>
      </c>
      <c r="D422">
        <v>4840</v>
      </c>
      <c r="E422">
        <v>4475</v>
      </c>
    </row>
    <row r="423" spans="1:5" x14ac:dyDescent="0.3">
      <c r="A423" s="13">
        <v>43979</v>
      </c>
      <c r="B423" t="s">
        <v>11</v>
      </c>
      <c r="C423">
        <v>31</v>
      </c>
      <c r="D423">
        <v>5355</v>
      </c>
      <c r="E423">
        <v>4969</v>
      </c>
    </row>
    <row r="424" spans="1:5" x14ac:dyDescent="0.3">
      <c r="A424" s="13">
        <v>43979</v>
      </c>
      <c r="B424" t="s">
        <v>17</v>
      </c>
      <c r="C424">
        <v>22</v>
      </c>
      <c r="D424">
        <v>2454</v>
      </c>
      <c r="E424">
        <v>2239</v>
      </c>
    </row>
    <row r="425" spans="1:5" x14ac:dyDescent="0.3">
      <c r="A425" s="13">
        <v>43979</v>
      </c>
      <c r="B425" t="s">
        <v>10</v>
      </c>
      <c r="C425">
        <v>20</v>
      </c>
      <c r="D425">
        <v>1886</v>
      </c>
      <c r="E425">
        <v>1736</v>
      </c>
    </row>
    <row r="426" spans="1:5" x14ac:dyDescent="0.3">
      <c r="A426" s="13">
        <v>43979</v>
      </c>
      <c r="B426" t="s">
        <v>20</v>
      </c>
      <c r="C426">
        <v>20</v>
      </c>
      <c r="D426">
        <v>1875</v>
      </c>
      <c r="E426">
        <v>1701</v>
      </c>
    </row>
    <row r="427" spans="1:5" x14ac:dyDescent="0.3">
      <c r="A427" s="13">
        <v>43979</v>
      </c>
      <c r="B427" t="s">
        <v>22</v>
      </c>
      <c r="C427">
        <v>54</v>
      </c>
      <c r="D427">
        <v>12409</v>
      </c>
      <c r="E427">
        <v>11582</v>
      </c>
    </row>
    <row r="428" spans="1:5" x14ac:dyDescent="0.3">
      <c r="A428" s="13">
        <v>43979</v>
      </c>
      <c r="B428" t="s">
        <v>21</v>
      </c>
      <c r="C428">
        <v>60</v>
      </c>
      <c r="D428">
        <v>12854</v>
      </c>
      <c r="E428">
        <v>11954</v>
      </c>
    </row>
    <row r="429" spans="1:5" x14ac:dyDescent="0.3">
      <c r="A429" s="13">
        <v>43979</v>
      </c>
      <c r="B429" t="s">
        <v>13</v>
      </c>
      <c r="C429">
        <v>20</v>
      </c>
      <c r="D429">
        <v>2088</v>
      </c>
      <c r="E429">
        <v>1848</v>
      </c>
    </row>
    <row r="430" spans="1:5" x14ac:dyDescent="0.3">
      <c r="A430" s="13">
        <v>43979</v>
      </c>
      <c r="B430" t="s">
        <v>23</v>
      </c>
      <c r="C430">
        <v>18</v>
      </c>
      <c r="D430">
        <v>1020</v>
      </c>
      <c r="E430">
        <v>911</v>
      </c>
    </row>
    <row r="431" spans="1:5" x14ac:dyDescent="0.3">
      <c r="A431" s="13">
        <v>43979</v>
      </c>
      <c r="B431" t="s">
        <v>18</v>
      </c>
      <c r="C431">
        <v>17</v>
      </c>
      <c r="D431">
        <v>1097</v>
      </c>
      <c r="E431">
        <v>968</v>
      </c>
    </row>
    <row r="432" spans="1:5" x14ac:dyDescent="0.3">
      <c r="A432" s="13">
        <v>43979</v>
      </c>
      <c r="B432" t="s">
        <v>19</v>
      </c>
      <c r="C432">
        <v>16</v>
      </c>
      <c r="D432">
        <v>876</v>
      </c>
      <c r="E432">
        <v>762</v>
      </c>
    </row>
    <row r="433" spans="1:5" x14ac:dyDescent="0.3">
      <c r="A433" s="13">
        <v>43979</v>
      </c>
      <c r="B433" t="s">
        <v>9</v>
      </c>
      <c r="C433">
        <v>15</v>
      </c>
      <c r="D433">
        <v>464</v>
      </c>
      <c r="E433">
        <v>390</v>
      </c>
    </row>
    <row r="434" spans="1:5" x14ac:dyDescent="0.3">
      <c r="A434" s="13">
        <v>43979</v>
      </c>
      <c r="B434" t="s">
        <v>15</v>
      </c>
      <c r="C434">
        <v>124</v>
      </c>
      <c r="D434">
        <v>20868</v>
      </c>
      <c r="E434">
        <v>19342</v>
      </c>
    </row>
    <row r="435" spans="1:5" x14ac:dyDescent="0.3">
      <c r="A435" s="13">
        <v>43979</v>
      </c>
      <c r="B435" t="s">
        <v>14</v>
      </c>
      <c r="C435">
        <v>129</v>
      </c>
      <c r="D435">
        <v>16453</v>
      </c>
      <c r="E435">
        <v>15289</v>
      </c>
    </row>
    <row r="436" spans="1:5" x14ac:dyDescent="0.3">
      <c r="A436" s="13">
        <v>43979</v>
      </c>
      <c r="B436" t="s">
        <v>12</v>
      </c>
      <c r="C436">
        <v>10</v>
      </c>
      <c r="D436">
        <v>791</v>
      </c>
      <c r="E436">
        <v>697</v>
      </c>
    </row>
    <row r="437" spans="1:5" x14ac:dyDescent="0.3">
      <c r="A437" s="13">
        <v>43979</v>
      </c>
      <c r="B437" t="s">
        <v>24</v>
      </c>
      <c r="C437">
        <v>7</v>
      </c>
      <c r="D437">
        <v>420</v>
      </c>
      <c r="E437">
        <v>347</v>
      </c>
    </row>
    <row r="438" spans="1:5" x14ac:dyDescent="0.3">
      <c r="A438" s="13">
        <v>43980</v>
      </c>
      <c r="B438" t="s">
        <v>16</v>
      </c>
      <c r="C438">
        <v>37</v>
      </c>
      <c r="D438">
        <v>5672</v>
      </c>
      <c r="E438">
        <v>5198</v>
      </c>
    </row>
    <row r="439" spans="1:5" x14ac:dyDescent="0.3">
      <c r="A439" s="13">
        <v>43980</v>
      </c>
      <c r="B439" t="s">
        <v>11</v>
      </c>
      <c r="C439">
        <v>31</v>
      </c>
      <c r="D439">
        <v>5751</v>
      </c>
      <c r="E439">
        <v>5319</v>
      </c>
    </row>
    <row r="440" spans="1:5" x14ac:dyDescent="0.3">
      <c r="A440" s="13">
        <v>43980</v>
      </c>
      <c r="B440" t="s">
        <v>17</v>
      </c>
      <c r="C440">
        <v>22</v>
      </c>
      <c r="D440">
        <v>2597</v>
      </c>
      <c r="E440">
        <v>2379</v>
      </c>
    </row>
    <row r="441" spans="1:5" x14ac:dyDescent="0.3">
      <c r="A441" s="13">
        <v>43980</v>
      </c>
      <c r="B441" t="s">
        <v>10</v>
      </c>
      <c r="C441">
        <v>20</v>
      </c>
      <c r="D441">
        <v>2111</v>
      </c>
      <c r="E441">
        <v>1917</v>
      </c>
    </row>
    <row r="442" spans="1:5" x14ac:dyDescent="0.3">
      <c r="A442" s="13">
        <v>43980</v>
      </c>
      <c r="B442" t="s">
        <v>20</v>
      </c>
      <c r="C442">
        <v>20</v>
      </c>
      <c r="D442">
        <v>2064</v>
      </c>
      <c r="E442">
        <v>1896</v>
      </c>
    </row>
    <row r="443" spans="1:5" x14ac:dyDescent="0.3">
      <c r="A443" s="13">
        <v>43980</v>
      </c>
      <c r="B443" t="s">
        <v>22</v>
      </c>
      <c r="C443">
        <v>54</v>
      </c>
      <c r="D443">
        <v>14031</v>
      </c>
      <c r="E443">
        <v>12943</v>
      </c>
    </row>
    <row r="444" spans="1:5" x14ac:dyDescent="0.3">
      <c r="A444" s="13">
        <v>43980</v>
      </c>
      <c r="B444" t="s">
        <v>21</v>
      </c>
      <c r="C444">
        <v>59</v>
      </c>
      <c r="D444">
        <v>14507</v>
      </c>
      <c r="E444">
        <v>13386</v>
      </c>
    </row>
    <row r="445" spans="1:5" x14ac:dyDescent="0.3">
      <c r="A445" s="13">
        <v>43980</v>
      </c>
      <c r="B445" t="s">
        <v>13</v>
      </c>
      <c r="C445">
        <v>20</v>
      </c>
      <c r="D445">
        <v>2249</v>
      </c>
      <c r="E445">
        <v>2000</v>
      </c>
    </row>
    <row r="446" spans="1:5" x14ac:dyDescent="0.3">
      <c r="A446" s="13">
        <v>43980</v>
      </c>
      <c r="B446" t="s">
        <v>23</v>
      </c>
      <c r="C446">
        <v>18</v>
      </c>
      <c r="D446">
        <v>1014</v>
      </c>
      <c r="E446">
        <v>893</v>
      </c>
    </row>
    <row r="447" spans="1:5" x14ac:dyDescent="0.3">
      <c r="A447" s="13">
        <v>43980</v>
      </c>
      <c r="B447" t="s">
        <v>18</v>
      </c>
      <c r="C447">
        <v>17</v>
      </c>
      <c r="D447">
        <v>1296</v>
      </c>
      <c r="E447">
        <v>1153</v>
      </c>
    </row>
    <row r="448" spans="1:5" x14ac:dyDescent="0.3">
      <c r="A448" s="13">
        <v>43980</v>
      </c>
      <c r="B448" t="s">
        <v>19</v>
      </c>
      <c r="C448">
        <v>16</v>
      </c>
      <c r="D448">
        <v>981</v>
      </c>
      <c r="E448">
        <v>859</v>
      </c>
    </row>
    <row r="449" spans="1:5" x14ac:dyDescent="0.3">
      <c r="A449" s="13">
        <v>43980</v>
      </c>
      <c r="B449" t="s">
        <v>9</v>
      </c>
      <c r="C449">
        <v>15</v>
      </c>
      <c r="D449">
        <v>400</v>
      </c>
      <c r="E449">
        <v>329</v>
      </c>
    </row>
    <row r="450" spans="1:5" x14ac:dyDescent="0.3">
      <c r="A450" s="13">
        <v>43980</v>
      </c>
      <c r="B450" t="s">
        <v>15</v>
      </c>
      <c r="C450">
        <v>124</v>
      </c>
      <c r="D450">
        <v>25828</v>
      </c>
      <c r="E450">
        <v>23974</v>
      </c>
    </row>
    <row r="451" spans="1:5" x14ac:dyDescent="0.3">
      <c r="A451" s="13">
        <v>43980</v>
      </c>
      <c r="B451" t="s">
        <v>14</v>
      </c>
      <c r="C451">
        <v>129</v>
      </c>
      <c r="D451">
        <v>22403</v>
      </c>
      <c r="E451">
        <v>20676</v>
      </c>
    </row>
    <row r="452" spans="1:5" x14ac:dyDescent="0.3">
      <c r="A452" s="13">
        <v>43980</v>
      </c>
      <c r="B452" t="s">
        <v>12</v>
      </c>
      <c r="C452">
        <v>10</v>
      </c>
      <c r="D452">
        <v>873</v>
      </c>
      <c r="E452">
        <v>770</v>
      </c>
    </row>
    <row r="453" spans="1:5" x14ac:dyDescent="0.3">
      <c r="A453" s="13">
        <v>43980</v>
      </c>
      <c r="B453" t="s">
        <v>24</v>
      </c>
      <c r="C453">
        <v>7</v>
      </c>
      <c r="D453">
        <v>491</v>
      </c>
      <c r="E453">
        <v>411</v>
      </c>
    </row>
    <row r="454" spans="1:5" x14ac:dyDescent="0.3">
      <c r="A454" s="13">
        <v>43981</v>
      </c>
      <c r="B454" t="s">
        <v>16</v>
      </c>
      <c r="C454">
        <v>37</v>
      </c>
      <c r="D454">
        <v>6645</v>
      </c>
      <c r="E454">
        <v>6122</v>
      </c>
    </row>
    <row r="455" spans="1:5" x14ac:dyDescent="0.3">
      <c r="A455" s="13">
        <v>43981</v>
      </c>
      <c r="B455" t="s">
        <v>11</v>
      </c>
      <c r="C455">
        <v>31</v>
      </c>
      <c r="D455">
        <v>6735</v>
      </c>
      <c r="E455">
        <v>6264</v>
      </c>
    </row>
    <row r="456" spans="1:5" x14ac:dyDescent="0.3">
      <c r="A456" s="13">
        <v>43981</v>
      </c>
      <c r="B456" t="s">
        <v>17</v>
      </c>
      <c r="C456">
        <v>22</v>
      </c>
      <c r="D456">
        <v>2793</v>
      </c>
      <c r="E456">
        <v>2539</v>
      </c>
    </row>
    <row r="457" spans="1:5" x14ac:dyDescent="0.3">
      <c r="A457" s="13">
        <v>43981</v>
      </c>
      <c r="B457" t="s">
        <v>10</v>
      </c>
      <c r="C457">
        <v>20</v>
      </c>
      <c r="D457">
        <v>2597</v>
      </c>
      <c r="E457">
        <v>2376</v>
      </c>
    </row>
    <row r="458" spans="1:5" x14ac:dyDescent="0.3">
      <c r="A458" s="13">
        <v>43981</v>
      </c>
      <c r="B458" t="s">
        <v>20</v>
      </c>
      <c r="C458">
        <v>20</v>
      </c>
      <c r="D458">
        <v>2174</v>
      </c>
      <c r="E458">
        <v>1957</v>
      </c>
    </row>
    <row r="459" spans="1:5" x14ac:dyDescent="0.3">
      <c r="A459" s="13">
        <v>43981</v>
      </c>
      <c r="B459" t="s">
        <v>22</v>
      </c>
      <c r="C459">
        <v>54</v>
      </c>
      <c r="D459">
        <v>14590</v>
      </c>
      <c r="E459">
        <v>13551</v>
      </c>
    </row>
    <row r="460" spans="1:5" x14ac:dyDescent="0.3">
      <c r="A460" s="13">
        <v>43981</v>
      </c>
      <c r="B460" t="s">
        <v>21</v>
      </c>
      <c r="C460">
        <v>59</v>
      </c>
      <c r="D460">
        <v>15030</v>
      </c>
      <c r="E460">
        <v>13956</v>
      </c>
    </row>
    <row r="461" spans="1:5" x14ac:dyDescent="0.3">
      <c r="A461" s="13">
        <v>43981</v>
      </c>
      <c r="B461" t="s">
        <v>13</v>
      </c>
      <c r="C461">
        <v>20</v>
      </c>
      <c r="D461">
        <v>2451</v>
      </c>
      <c r="E461">
        <v>2178</v>
      </c>
    </row>
    <row r="462" spans="1:5" x14ac:dyDescent="0.3">
      <c r="A462" s="13">
        <v>43981</v>
      </c>
      <c r="B462" t="s">
        <v>23</v>
      </c>
      <c r="C462">
        <v>18</v>
      </c>
      <c r="D462">
        <v>1216</v>
      </c>
      <c r="E462">
        <v>1101</v>
      </c>
    </row>
    <row r="463" spans="1:5" x14ac:dyDescent="0.3">
      <c r="A463" s="13">
        <v>43981</v>
      </c>
      <c r="B463" t="s">
        <v>18</v>
      </c>
      <c r="C463">
        <v>17</v>
      </c>
      <c r="D463">
        <v>1697</v>
      </c>
      <c r="E463">
        <v>1499</v>
      </c>
    </row>
    <row r="464" spans="1:5" x14ac:dyDescent="0.3">
      <c r="A464" s="13">
        <v>43981</v>
      </c>
      <c r="B464" t="s">
        <v>19</v>
      </c>
      <c r="C464">
        <v>16</v>
      </c>
      <c r="D464">
        <v>1048</v>
      </c>
      <c r="E464">
        <v>918</v>
      </c>
    </row>
    <row r="465" spans="1:5" x14ac:dyDescent="0.3">
      <c r="A465" s="13">
        <v>43981</v>
      </c>
      <c r="B465" t="s">
        <v>9</v>
      </c>
      <c r="C465">
        <v>15</v>
      </c>
      <c r="D465">
        <v>490</v>
      </c>
      <c r="E465">
        <v>409</v>
      </c>
    </row>
    <row r="466" spans="1:5" x14ac:dyDescent="0.3">
      <c r="A466" s="13">
        <v>43981</v>
      </c>
      <c r="B466" t="s">
        <v>15</v>
      </c>
      <c r="C466">
        <v>124</v>
      </c>
      <c r="D466">
        <v>24325</v>
      </c>
      <c r="E466">
        <v>22469</v>
      </c>
    </row>
    <row r="467" spans="1:5" x14ac:dyDescent="0.3">
      <c r="A467" s="13">
        <v>43981</v>
      </c>
      <c r="B467" t="s">
        <v>14</v>
      </c>
      <c r="C467">
        <v>129</v>
      </c>
      <c r="D467">
        <v>20243</v>
      </c>
      <c r="E467">
        <v>18711</v>
      </c>
    </row>
    <row r="468" spans="1:5" x14ac:dyDescent="0.3">
      <c r="A468" s="13">
        <v>43981</v>
      </c>
      <c r="B468" t="s">
        <v>12</v>
      </c>
      <c r="C468">
        <v>10</v>
      </c>
      <c r="D468">
        <v>865</v>
      </c>
      <c r="E468">
        <v>763</v>
      </c>
    </row>
    <row r="469" spans="1:5" x14ac:dyDescent="0.3">
      <c r="A469" s="13">
        <v>43981</v>
      </c>
      <c r="B469" t="s">
        <v>24</v>
      </c>
      <c r="C469">
        <v>7</v>
      </c>
      <c r="D469">
        <v>532</v>
      </c>
      <c r="E469">
        <v>449</v>
      </c>
    </row>
    <row r="470" spans="1:5" x14ac:dyDescent="0.3">
      <c r="A470" s="13">
        <v>43982</v>
      </c>
      <c r="B470" t="s">
        <v>16</v>
      </c>
      <c r="C470">
        <v>37</v>
      </c>
      <c r="D470">
        <v>5215</v>
      </c>
      <c r="E470">
        <v>4848</v>
      </c>
    </row>
    <row r="471" spans="1:5" x14ac:dyDescent="0.3">
      <c r="A471" s="13">
        <v>43982</v>
      </c>
      <c r="B471" t="s">
        <v>11</v>
      </c>
      <c r="C471">
        <v>31</v>
      </c>
      <c r="D471">
        <v>5760</v>
      </c>
      <c r="E471">
        <v>5367</v>
      </c>
    </row>
    <row r="472" spans="1:5" x14ac:dyDescent="0.3">
      <c r="A472" s="13">
        <v>43982</v>
      </c>
      <c r="B472" t="s">
        <v>17</v>
      </c>
      <c r="C472">
        <v>23</v>
      </c>
      <c r="D472">
        <v>2522</v>
      </c>
      <c r="E472">
        <v>2295</v>
      </c>
    </row>
    <row r="473" spans="1:5" x14ac:dyDescent="0.3">
      <c r="A473" s="13">
        <v>43982</v>
      </c>
      <c r="B473" t="s">
        <v>10</v>
      </c>
      <c r="C473">
        <v>21</v>
      </c>
      <c r="D473">
        <v>2271</v>
      </c>
      <c r="E473">
        <v>2085</v>
      </c>
    </row>
    <row r="474" spans="1:5" x14ac:dyDescent="0.3">
      <c r="A474" s="13">
        <v>43982</v>
      </c>
      <c r="B474" t="s">
        <v>20</v>
      </c>
      <c r="C474">
        <v>21</v>
      </c>
      <c r="D474">
        <v>2056</v>
      </c>
      <c r="E474">
        <v>1879</v>
      </c>
    </row>
    <row r="475" spans="1:5" x14ac:dyDescent="0.3">
      <c r="A475" s="13">
        <v>43982</v>
      </c>
      <c r="B475" t="s">
        <v>22</v>
      </c>
      <c r="C475">
        <v>54</v>
      </c>
      <c r="D475">
        <v>13106</v>
      </c>
      <c r="E475">
        <v>12164</v>
      </c>
    </row>
    <row r="476" spans="1:5" x14ac:dyDescent="0.3">
      <c r="A476" s="13">
        <v>43982</v>
      </c>
      <c r="B476" t="s">
        <v>21</v>
      </c>
      <c r="C476">
        <v>59</v>
      </c>
      <c r="D476">
        <v>13684</v>
      </c>
      <c r="E476">
        <v>12690</v>
      </c>
    </row>
    <row r="477" spans="1:5" x14ac:dyDescent="0.3">
      <c r="A477" s="13">
        <v>43982</v>
      </c>
      <c r="B477" t="s">
        <v>13</v>
      </c>
      <c r="C477">
        <v>20</v>
      </c>
      <c r="D477">
        <v>2060</v>
      </c>
      <c r="E477">
        <v>1826</v>
      </c>
    </row>
    <row r="478" spans="1:5" x14ac:dyDescent="0.3">
      <c r="A478" s="13">
        <v>43982</v>
      </c>
      <c r="B478" t="s">
        <v>23</v>
      </c>
      <c r="C478">
        <v>18</v>
      </c>
      <c r="D478">
        <v>1029</v>
      </c>
      <c r="E478">
        <v>925</v>
      </c>
    </row>
    <row r="479" spans="1:5" x14ac:dyDescent="0.3">
      <c r="A479" s="13">
        <v>43982</v>
      </c>
      <c r="B479" t="s">
        <v>18</v>
      </c>
      <c r="C479">
        <v>17</v>
      </c>
      <c r="D479">
        <v>1186</v>
      </c>
      <c r="E479">
        <v>1054</v>
      </c>
    </row>
    <row r="480" spans="1:5" x14ac:dyDescent="0.3">
      <c r="A480" s="13">
        <v>43982</v>
      </c>
      <c r="B480" t="s">
        <v>19</v>
      </c>
      <c r="C480">
        <v>16</v>
      </c>
      <c r="D480">
        <v>917</v>
      </c>
      <c r="E480">
        <v>802</v>
      </c>
    </row>
    <row r="481" spans="1:5" x14ac:dyDescent="0.3">
      <c r="A481" s="13">
        <v>43982</v>
      </c>
      <c r="B481" t="s">
        <v>9</v>
      </c>
      <c r="C481">
        <v>15</v>
      </c>
      <c r="D481">
        <v>441</v>
      </c>
      <c r="E481">
        <v>368</v>
      </c>
    </row>
    <row r="482" spans="1:5" x14ac:dyDescent="0.3">
      <c r="A482" s="13">
        <v>43982</v>
      </c>
      <c r="B482" t="s">
        <v>15</v>
      </c>
      <c r="C482">
        <v>124</v>
      </c>
      <c r="D482">
        <v>21392</v>
      </c>
      <c r="E482">
        <v>19869</v>
      </c>
    </row>
    <row r="483" spans="1:5" x14ac:dyDescent="0.3">
      <c r="A483" s="13">
        <v>43982</v>
      </c>
      <c r="B483" t="s">
        <v>14</v>
      </c>
      <c r="C483">
        <v>129</v>
      </c>
      <c r="D483">
        <v>17235</v>
      </c>
      <c r="E483">
        <v>16052</v>
      </c>
    </row>
    <row r="484" spans="1:5" x14ac:dyDescent="0.3">
      <c r="A484" s="13">
        <v>43982</v>
      </c>
      <c r="B484" t="s">
        <v>12</v>
      </c>
      <c r="C484">
        <v>10</v>
      </c>
      <c r="D484">
        <v>749</v>
      </c>
      <c r="E484">
        <v>655</v>
      </c>
    </row>
    <row r="485" spans="1:5" x14ac:dyDescent="0.3">
      <c r="A485" s="13">
        <v>43982</v>
      </c>
      <c r="B485" t="s">
        <v>25</v>
      </c>
      <c r="C485">
        <v>9</v>
      </c>
      <c r="D485">
        <v>345</v>
      </c>
      <c r="E485">
        <v>255</v>
      </c>
    </row>
    <row r="486" spans="1:5" x14ac:dyDescent="0.3">
      <c r="A486" s="13">
        <v>43982</v>
      </c>
      <c r="B486" t="s">
        <v>24</v>
      </c>
      <c r="C486">
        <v>7</v>
      </c>
      <c r="D486">
        <v>530</v>
      </c>
      <c r="E486">
        <v>447</v>
      </c>
    </row>
    <row r="487" spans="1:5" x14ac:dyDescent="0.3">
      <c r="A487" s="13">
        <v>43982</v>
      </c>
      <c r="B487" t="s">
        <v>26</v>
      </c>
      <c r="C487">
        <v>6</v>
      </c>
      <c r="D487">
        <v>261</v>
      </c>
      <c r="E487">
        <v>188</v>
      </c>
    </row>
    <row r="488" spans="1:5" x14ac:dyDescent="0.3">
      <c r="A488" s="13">
        <v>43983</v>
      </c>
      <c r="B488" t="s">
        <v>16</v>
      </c>
      <c r="C488">
        <v>37</v>
      </c>
      <c r="D488">
        <v>4722</v>
      </c>
      <c r="E488">
        <v>4352</v>
      </c>
    </row>
    <row r="489" spans="1:5" x14ac:dyDescent="0.3">
      <c r="A489" s="13">
        <v>43983</v>
      </c>
      <c r="B489" t="s">
        <v>11</v>
      </c>
      <c r="C489">
        <v>31</v>
      </c>
      <c r="D489">
        <v>5468</v>
      </c>
      <c r="E489">
        <v>5081</v>
      </c>
    </row>
    <row r="490" spans="1:5" x14ac:dyDescent="0.3">
      <c r="A490" s="13">
        <v>43983</v>
      </c>
      <c r="B490" t="s">
        <v>17</v>
      </c>
      <c r="C490">
        <v>23</v>
      </c>
      <c r="D490">
        <v>2531</v>
      </c>
      <c r="E490">
        <v>2296</v>
      </c>
    </row>
    <row r="491" spans="1:5" x14ac:dyDescent="0.3">
      <c r="A491" s="13">
        <v>43983</v>
      </c>
      <c r="B491" t="s">
        <v>10</v>
      </c>
      <c r="C491">
        <v>21</v>
      </c>
      <c r="D491">
        <v>2025</v>
      </c>
      <c r="E491">
        <v>1849</v>
      </c>
    </row>
    <row r="492" spans="1:5" x14ac:dyDescent="0.3">
      <c r="A492" s="13">
        <v>43983</v>
      </c>
      <c r="B492" t="s">
        <v>20</v>
      </c>
      <c r="C492">
        <v>21</v>
      </c>
      <c r="D492">
        <v>1879</v>
      </c>
      <c r="E492">
        <v>1720</v>
      </c>
    </row>
    <row r="493" spans="1:5" x14ac:dyDescent="0.3">
      <c r="A493" s="13">
        <v>43983</v>
      </c>
      <c r="B493" t="s">
        <v>22</v>
      </c>
      <c r="C493">
        <v>54</v>
      </c>
      <c r="D493">
        <v>11864</v>
      </c>
      <c r="E493">
        <v>11071</v>
      </c>
    </row>
    <row r="494" spans="1:5" x14ac:dyDescent="0.3">
      <c r="A494" s="13">
        <v>43983</v>
      </c>
      <c r="B494" t="s">
        <v>21</v>
      </c>
      <c r="C494">
        <v>59</v>
      </c>
      <c r="D494">
        <v>12299</v>
      </c>
      <c r="E494">
        <v>11448</v>
      </c>
    </row>
    <row r="495" spans="1:5" x14ac:dyDescent="0.3">
      <c r="A495" s="13">
        <v>43983</v>
      </c>
      <c r="B495" t="s">
        <v>13</v>
      </c>
      <c r="C495">
        <v>20</v>
      </c>
      <c r="D495">
        <v>2136</v>
      </c>
      <c r="E495">
        <v>1899</v>
      </c>
    </row>
    <row r="496" spans="1:5" x14ac:dyDescent="0.3">
      <c r="A496" s="13">
        <v>43983</v>
      </c>
      <c r="B496" t="s">
        <v>23</v>
      </c>
      <c r="C496">
        <v>18</v>
      </c>
      <c r="D496">
        <v>923</v>
      </c>
      <c r="E496">
        <v>824</v>
      </c>
    </row>
    <row r="497" spans="1:5" x14ac:dyDescent="0.3">
      <c r="A497" s="13">
        <v>43983</v>
      </c>
      <c r="B497" t="s">
        <v>18</v>
      </c>
      <c r="C497">
        <v>17</v>
      </c>
      <c r="D497">
        <v>1185</v>
      </c>
      <c r="E497">
        <v>1042</v>
      </c>
    </row>
    <row r="498" spans="1:5" x14ac:dyDescent="0.3">
      <c r="A498" s="13">
        <v>43983</v>
      </c>
      <c r="B498" t="s">
        <v>19</v>
      </c>
      <c r="C498">
        <v>16</v>
      </c>
      <c r="D498">
        <v>1019</v>
      </c>
      <c r="E498">
        <v>895</v>
      </c>
    </row>
    <row r="499" spans="1:5" x14ac:dyDescent="0.3">
      <c r="A499" s="13">
        <v>43983</v>
      </c>
      <c r="B499" t="s">
        <v>9</v>
      </c>
      <c r="C499">
        <v>15</v>
      </c>
      <c r="D499">
        <v>453</v>
      </c>
      <c r="E499">
        <v>370</v>
      </c>
    </row>
    <row r="500" spans="1:5" x14ac:dyDescent="0.3">
      <c r="A500" s="13">
        <v>43983</v>
      </c>
      <c r="B500" t="s">
        <v>15</v>
      </c>
      <c r="C500">
        <v>123</v>
      </c>
      <c r="D500">
        <v>20325</v>
      </c>
      <c r="E500">
        <v>18935</v>
      </c>
    </row>
    <row r="501" spans="1:5" x14ac:dyDescent="0.3">
      <c r="A501" s="13">
        <v>43983</v>
      </c>
      <c r="B501" t="s">
        <v>14</v>
      </c>
      <c r="C501">
        <v>128</v>
      </c>
      <c r="D501">
        <v>16285</v>
      </c>
      <c r="E501">
        <v>15130</v>
      </c>
    </row>
    <row r="502" spans="1:5" x14ac:dyDescent="0.3">
      <c r="A502" s="13">
        <v>43983</v>
      </c>
      <c r="B502" t="s">
        <v>12</v>
      </c>
      <c r="C502">
        <v>10</v>
      </c>
      <c r="D502">
        <v>719</v>
      </c>
      <c r="E502">
        <v>627</v>
      </c>
    </row>
    <row r="503" spans="1:5" x14ac:dyDescent="0.3">
      <c r="A503" s="13">
        <v>43983</v>
      </c>
      <c r="B503" t="s">
        <v>25</v>
      </c>
      <c r="C503">
        <v>9</v>
      </c>
      <c r="D503">
        <v>294</v>
      </c>
      <c r="E503">
        <v>224</v>
      </c>
    </row>
    <row r="504" spans="1:5" x14ac:dyDescent="0.3">
      <c r="A504" s="13">
        <v>43983</v>
      </c>
      <c r="B504" t="s">
        <v>24</v>
      </c>
      <c r="C504">
        <v>7</v>
      </c>
      <c r="D504">
        <v>500</v>
      </c>
      <c r="E504">
        <v>418</v>
      </c>
    </row>
    <row r="505" spans="1:5" x14ac:dyDescent="0.3">
      <c r="A505" s="13">
        <v>43983</v>
      </c>
      <c r="B505" t="s">
        <v>26</v>
      </c>
      <c r="C505">
        <v>6</v>
      </c>
      <c r="D505">
        <v>237</v>
      </c>
      <c r="E505">
        <v>175</v>
      </c>
    </row>
    <row r="506" spans="1:5" x14ac:dyDescent="0.3">
      <c r="A506" s="13"/>
    </row>
    <row r="507" spans="1:5" x14ac:dyDescent="0.3">
      <c r="A507" s="13"/>
    </row>
    <row r="508" spans="1:5" x14ac:dyDescent="0.3">
      <c r="A508" s="13"/>
    </row>
    <row r="509" spans="1:5" x14ac:dyDescent="0.3">
      <c r="A509" s="13"/>
    </row>
    <row r="510" spans="1:5" x14ac:dyDescent="0.3">
      <c r="A510" s="13"/>
    </row>
    <row r="511" spans="1:5" x14ac:dyDescent="0.3">
      <c r="A511" s="13"/>
    </row>
    <row r="512" spans="1:5" x14ac:dyDescent="0.3">
      <c r="A512" s="13"/>
    </row>
    <row r="513" spans="1:1" x14ac:dyDescent="0.3">
      <c r="A513" s="13"/>
    </row>
    <row r="514" spans="1:1" x14ac:dyDescent="0.3">
      <c r="A514" s="13"/>
    </row>
    <row r="515" spans="1:1" x14ac:dyDescent="0.3">
      <c r="A515" s="13"/>
    </row>
    <row r="516" spans="1:1" x14ac:dyDescent="0.3">
      <c r="A516" s="13"/>
    </row>
    <row r="517" spans="1:1" x14ac:dyDescent="0.3">
      <c r="A517" s="13"/>
    </row>
    <row r="518" spans="1:1" x14ac:dyDescent="0.3">
      <c r="A518" s="13"/>
    </row>
    <row r="519" spans="1:1" x14ac:dyDescent="0.3">
      <c r="A519" s="13"/>
    </row>
    <row r="520" spans="1:1" x14ac:dyDescent="0.3">
      <c r="A520" s="13"/>
    </row>
    <row r="521" spans="1:1" x14ac:dyDescent="0.3">
      <c r="A521" s="13"/>
    </row>
    <row r="522" spans="1:1" x14ac:dyDescent="0.3">
      <c r="A522" s="13"/>
    </row>
    <row r="523" spans="1:1" x14ac:dyDescent="0.3">
      <c r="A523" s="13"/>
    </row>
    <row r="524" spans="1:1" x14ac:dyDescent="0.3">
      <c r="A524" s="13"/>
    </row>
    <row r="525" spans="1:1" x14ac:dyDescent="0.3">
      <c r="A525" s="13"/>
    </row>
    <row r="526" spans="1:1" x14ac:dyDescent="0.3">
      <c r="A526" s="13"/>
    </row>
    <row r="527" spans="1:1" x14ac:dyDescent="0.3">
      <c r="A527" s="13"/>
    </row>
    <row r="528" spans="1:1" x14ac:dyDescent="0.3">
      <c r="A528" s="13"/>
    </row>
    <row r="529" spans="1:1" x14ac:dyDescent="0.3">
      <c r="A529" s="13"/>
    </row>
    <row r="530" spans="1:1" x14ac:dyDescent="0.3">
      <c r="A530" s="13"/>
    </row>
    <row r="531" spans="1:1" x14ac:dyDescent="0.3">
      <c r="A531" s="13"/>
    </row>
    <row r="532" spans="1:1" x14ac:dyDescent="0.3">
      <c r="A532" s="13"/>
    </row>
    <row r="533" spans="1:1" x14ac:dyDescent="0.3">
      <c r="A533" s="13"/>
    </row>
    <row r="534" spans="1:1" x14ac:dyDescent="0.3">
      <c r="A534" s="13"/>
    </row>
    <row r="535" spans="1:1" x14ac:dyDescent="0.3">
      <c r="A535" s="13"/>
    </row>
    <row r="536" spans="1:1" x14ac:dyDescent="0.3">
      <c r="A536" s="13"/>
    </row>
    <row r="537" spans="1:1" x14ac:dyDescent="0.3">
      <c r="A537" s="13"/>
    </row>
    <row r="538" spans="1:1" x14ac:dyDescent="0.3">
      <c r="A538" s="13"/>
    </row>
    <row r="539" spans="1:1" x14ac:dyDescent="0.3">
      <c r="A539" s="13"/>
    </row>
    <row r="540" spans="1:1" x14ac:dyDescent="0.3">
      <c r="A540" s="13"/>
    </row>
    <row r="541" spans="1:1" x14ac:dyDescent="0.3">
      <c r="A541" s="13"/>
    </row>
    <row r="542" spans="1:1" x14ac:dyDescent="0.3">
      <c r="A542" s="13"/>
    </row>
    <row r="543" spans="1:1" x14ac:dyDescent="0.3">
      <c r="A543" s="13"/>
    </row>
    <row r="544" spans="1:1" x14ac:dyDescent="0.3">
      <c r="A544" s="13"/>
    </row>
    <row r="545" spans="1:1" x14ac:dyDescent="0.3">
      <c r="A545" s="13"/>
    </row>
    <row r="546" spans="1:1" x14ac:dyDescent="0.3">
      <c r="A546" s="13"/>
    </row>
    <row r="547" spans="1:1" x14ac:dyDescent="0.3">
      <c r="A547" s="13"/>
    </row>
    <row r="548" spans="1:1" x14ac:dyDescent="0.3">
      <c r="A548" s="13"/>
    </row>
    <row r="549" spans="1:1" x14ac:dyDescent="0.3">
      <c r="A549" s="13"/>
    </row>
    <row r="550" spans="1:1" x14ac:dyDescent="0.3">
      <c r="A550" s="13"/>
    </row>
    <row r="551" spans="1:1" x14ac:dyDescent="0.3">
      <c r="A551" s="13"/>
    </row>
    <row r="552" spans="1:1" x14ac:dyDescent="0.3">
      <c r="A552" s="13"/>
    </row>
    <row r="553" spans="1:1" x14ac:dyDescent="0.3">
      <c r="A553" s="13"/>
    </row>
    <row r="554" spans="1:1" x14ac:dyDescent="0.3">
      <c r="A554" s="13"/>
    </row>
    <row r="555" spans="1:1" x14ac:dyDescent="0.3">
      <c r="A555" s="13"/>
    </row>
    <row r="556" spans="1:1" x14ac:dyDescent="0.3">
      <c r="A556" s="13"/>
    </row>
    <row r="557" spans="1:1" x14ac:dyDescent="0.3">
      <c r="A557" s="13"/>
    </row>
    <row r="558" spans="1:1" x14ac:dyDescent="0.3">
      <c r="A558" s="13"/>
    </row>
    <row r="559" spans="1:1" x14ac:dyDescent="0.3">
      <c r="A559" s="13"/>
    </row>
    <row r="560" spans="1:1" x14ac:dyDescent="0.3">
      <c r="A560" s="13"/>
    </row>
    <row r="561" spans="1:1" x14ac:dyDescent="0.3">
      <c r="A561" s="13"/>
    </row>
    <row r="562" spans="1:1" x14ac:dyDescent="0.3">
      <c r="A562" s="13"/>
    </row>
    <row r="563" spans="1:1" x14ac:dyDescent="0.3">
      <c r="A563" s="13"/>
    </row>
    <row r="564" spans="1:1" x14ac:dyDescent="0.3">
      <c r="A564" s="13"/>
    </row>
    <row r="565" spans="1:1" x14ac:dyDescent="0.3">
      <c r="A565" s="13"/>
    </row>
    <row r="566" spans="1:1" x14ac:dyDescent="0.3">
      <c r="A566" s="13"/>
    </row>
    <row r="567" spans="1:1" x14ac:dyDescent="0.3">
      <c r="A567" s="13"/>
    </row>
    <row r="568" spans="1:1" x14ac:dyDescent="0.3">
      <c r="A568" s="13"/>
    </row>
    <row r="569" spans="1:1" x14ac:dyDescent="0.3">
      <c r="A569" s="13"/>
    </row>
    <row r="570" spans="1:1" x14ac:dyDescent="0.3">
      <c r="A570" s="13"/>
    </row>
    <row r="571" spans="1:1" x14ac:dyDescent="0.3">
      <c r="A571" s="13"/>
    </row>
    <row r="572" spans="1:1" x14ac:dyDescent="0.3">
      <c r="A572" s="13"/>
    </row>
    <row r="573" spans="1:1" x14ac:dyDescent="0.3">
      <c r="A573" s="13"/>
    </row>
    <row r="574" spans="1:1" x14ac:dyDescent="0.3">
      <c r="A574" s="13"/>
    </row>
    <row r="575" spans="1:1" x14ac:dyDescent="0.3">
      <c r="A575" s="13"/>
    </row>
    <row r="576" spans="1:1" x14ac:dyDescent="0.3">
      <c r="A576" s="13"/>
    </row>
    <row r="577" spans="1:1" x14ac:dyDescent="0.3">
      <c r="A577" s="13"/>
    </row>
    <row r="578" spans="1:1" x14ac:dyDescent="0.3">
      <c r="A578" s="13"/>
    </row>
    <row r="579" spans="1:1" x14ac:dyDescent="0.3">
      <c r="A579" s="13"/>
    </row>
    <row r="580" spans="1:1" x14ac:dyDescent="0.3">
      <c r="A580" s="13"/>
    </row>
    <row r="581" spans="1:1" x14ac:dyDescent="0.3">
      <c r="A581" s="13"/>
    </row>
    <row r="582" spans="1:1" x14ac:dyDescent="0.3">
      <c r="A582" s="13"/>
    </row>
    <row r="583" spans="1:1" x14ac:dyDescent="0.3">
      <c r="A583" s="13"/>
    </row>
    <row r="584" spans="1:1" x14ac:dyDescent="0.3">
      <c r="A584" s="13"/>
    </row>
    <row r="585" spans="1:1" x14ac:dyDescent="0.3">
      <c r="A585" s="13"/>
    </row>
    <row r="586" spans="1:1" x14ac:dyDescent="0.3">
      <c r="A586" s="13"/>
    </row>
    <row r="587" spans="1:1" x14ac:dyDescent="0.3">
      <c r="A587" s="13"/>
    </row>
    <row r="588" spans="1:1" x14ac:dyDescent="0.3">
      <c r="A588" s="13"/>
    </row>
    <row r="589" spans="1:1" x14ac:dyDescent="0.3">
      <c r="A589" s="13"/>
    </row>
    <row r="590" spans="1:1" x14ac:dyDescent="0.3">
      <c r="A590" s="13"/>
    </row>
    <row r="591" spans="1:1" x14ac:dyDescent="0.3">
      <c r="A591" s="13"/>
    </row>
    <row r="592" spans="1:1" x14ac:dyDescent="0.3">
      <c r="A592" s="13"/>
    </row>
    <row r="593" spans="1:1" x14ac:dyDescent="0.3">
      <c r="A593" s="13"/>
    </row>
    <row r="594" spans="1:1" x14ac:dyDescent="0.3">
      <c r="A594" s="13"/>
    </row>
    <row r="595" spans="1:1" x14ac:dyDescent="0.3">
      <c r="A595" s="13"/>
    </row>
    <row r="596" spans="1:1" x14ac:dyDescent="0.3">
      <c r="A596" s="13"/>
    </row>
    <row r="597" spans="1:1" x14ac:dyDescent="0.3">
      <c r="A597" s="13"/>
    </row>
    <row r="598" spans="1:1" x14ac:dyDescent="0.3">
      <c r="A598" s="13"/>
    </row>
    <row r="599" spans="1:1" x14ac:dyDescent="0.3">
      <c r="A599" s="13"/>
    </row>
    <row r="600" spans="1:1" x14ac:dyDescent="0.3">
      <c r="A600" s="13"/>
    </row>
    <row r="601" spans="1:1" x14ac:dyDescent="0.3">
      <c r="A601" s="13"/>
    </row>
    <row r="602" spans="1:1" x14ac:dyDescent="0.3">
      <c r="A602" s="13"/>
    </row>
    <row r="603" spans="1:1" x14ac:dyDescent="0.3">
      <c r="A603" s="13"/>
    </row>
    <row r="604" spans="1:1" x14ac:dyDescent="0.3">
      <c r="A604" s="13"/>
    </row>
    <row r="605" spans="1:1" x14ac:dyDescent="0.3">
      <c r="A605" s="13"/>
    </row>
    <row r="606" spans="1:1" x14ac:dyDescent="0.3">
      <c r="A606" s="13"/>
    </row>
    <row r="607" spans="1:1" x14ac:dyDescent="0.3">
      <c r="A607" s="13"/>
    </row>
    <row r="608" spans="1:1" x14ac:dyDescent="0.3">
      <c r="A608" s="13"/>
    </row>
    <row r="609" spans="1:1" x14ac:dyDescent="0.3">
      <c r="A609" s="13"/>
    </row>
    <row r="610" spans="1:1" x14ac:dyDescent="0.3">
      <c r="A610" s="13"/>
    </row>
    <row r="611" spans="1:1" x14ac:dyDescent="0.3">
      <c r="A611" s="13"/>
    </row>
    <row r="612" spans="1:1" x14ac:dyDescent="0.3">
      <c r="A612" s="13"/>
    </row>
    <row r="613" spans="1:1" x14ac:dyDescent="0.3">
      <c r="A613" s="13"/>
    </row>
    <row r="614" spans="1:1" x14ac:dyDescent="0.3">
      <c r="A614" s="13"/>
    </row>
    <row r="615" spans="1:1" x14ac:dyDescent="0.3">
      <c r="A615" s="13"/>
    </row>
    <row r="616" spans="1:1" x14ac:dyDescent="0.3">
      <c r="A616" s="13"/>
    </row>
    <row r="617" spans="1:1" x14ac:dyDescent="0.3">
      <c r="A617" s="13"/>
    </row>
    <row r="618" spans="1:1" x14ac:dyDescent="0.3">
      <c r="A618" s="13"/>
    </row>
    <row r="619" spans="1:1" x14ac:dyDescent="0.3">
      <c r="A619" s="13"/>
    </row>
    <row r="620" spans="1:1" x14ac:dyDescent="0.3">
      <c r="A620" s="13"/>
    </row>
    <row r="621" spans="1:1" x14ac:dyDescent="0.3">
      <c r="A621" s="13"/>
    </row>
    <row r="622" spans="1:1" x14ac:dyDescent="0.3">
      <c r="A622" s="13"/>
    </row>
    <row r="623" spans="1:1" x14ac:dyDescent="0.3">
      <c r="A623" s="13"/>
    </row>
    <row r="624" spans="1:1" x14ac:dyDescent="0.3">
      <c r="A624" s="13"/>
    </row>
    <row r="625" spans="1:1" x14ac:dyDescent="0.3">
      <c r="A625" s="13"/>
    </row>
    <row r="626" spans="1:1" x14ac:dyDescent="0.3">
      <c r="A626" s="13"/>
    </row>
    <row r="627" spans="1:1" x14ac:dyDescent="0.3">
      <c r="A627" s="13"/>
    </row>
    <row r="628" spans="1:1" x14ac:dyDescent="0.3">
      <c r="A628" s="13"/>
    </row>
    <row r="629" spans="1:1" x14ac:dyDescent="0.3">
      <c r="A629" s="13"/>
    </row>
    <row r="630" spans="1:1" x14ac:dyDescent="0.3">
      <c r="A630" s="13"/>
    </row>
    <row r="631" spans="1:1" x14ac:dyDescent="0.3">
      <c r="A631" s="13"/>
    </row>
    <row r="632" spans="1:1" x14ac:dyDescent="0.3">
      <c r="A632" s="13"/>
    </row>
    <row r="633" spans="1:1" x14ac:dyDescent="0.3">
      <c r="A633" s="13"/>
    </row>
    <row r="634" spans="1:1" x14ac:dyDescent="0.3">
      <c r="A634" s="13"/>
    </row>
    <row r="635" spans="1:1" x14ac:dyDescent="0.3">
      <c r="A635" s="13"/>
    </row>
    <row r="636" spans="1:1" x14ac:dyDescent="0.3">
      <c r="A636" s="13"/>
    </row>
    <row r="637" spans="1:1" x14ac:dyDescent="0.3">
      <c r="A637" s="13"/>
    </row>
    <row r="638" spans="1:1" x14ac:dyDescent="0.3">
      <c r="A638" s="13"/>
    </row>
    <row r="639" spans="1:1" x14ac:dyDescent="0.3">
      <c r="A639" s="13"/>
    </row>
    <row r="640" spans="1:1" x14ac:dyDescent="0.3">
      <c r="A640" s="13"/>
    </row>
    <row r="641" spans="1:1" x14ac:dyDescent="0.3">
      <c r="A641" s="13"/>
    </row>
    <row r="642" spans="1:1" x14ac:dyDescent="0.3">
      <c r="A642" s="13"/>
    </row>
    <row r="643" spans="1:1" x14ac:dyDescent="0.3">
      <c r="A643" s="13"/>
    </row>
    <row r="644" spans="1:1" x14ac:dyDescent="0.3">
      <c r="A644" s="13"/>
    </row>
    <row r="645" spans="1:1" x14ac:dyDescent="0.3">
      <c r="A645" s="13"/>
    </row>
    <row r="646" spans="1:1" x14ac:dyDescent="0.3">
      <c r="A646" s="13"/>
    </row>
    <row r="647" spans="1:1" x14ac:dyDescent="0.3">
      <c r="A647" s="13"/>
    </row>
    <row r="648" spans="1:1" x14ac:dyDescent="0.3">
      <c r="A648" s="13"/>
    </row>
    <row r="649" spans="1:1" x14ac:dyDescent="0.3">
      <c r="A649" s="13"/>
    </row>
    <row r="650" spans="1:1" x14ac:dyDescent="0.3">
      <c r="A650" s="13"/>
    </row>
    <row r="651" spans="1:1" x14ac:dyDescent="0.3">
      <c r="A651" s="13"/>
    </row>
    <row r="652" spans="1:1" x14ac:dyDescent="0.3">
      <c r="A652" s="13"/>
    </row>
    <row r="653" spans="1:1" x14ac:dyDescent="0.3">
      <c r="A653" s="13"/>
    </row>
    <row r="654" spans="1:1" x14ac:dyDescent="0.3">
      <c r="A654" s="13"/>
    </row>
    <row r="655" spans="1:1" x14ac:dyDescent="0.3">
      <c r="A655" s="13"/>
    </row>
    <row r="656" spans="1:1" x14ac:dyDescent="0.3">
      <c r="A656" s="13"/>
    </row>
    <row r="657" spans="1:1" x14ac:dyDescent="0.3">
      <c r="A657" s="13"/>
    </row>
    <row r="658" spans="1:1" x14ac:dyDescent="0.3">
      <c r="A658" s="13"/>
    </row>
    <row r="659" spans="1:1" x14ac:dyDescent="0.3">
      <c r="A659" s="13"/>
    </row>
    <row r="660" spans="1:1" x14ac:dyDescent="0.3">
      <c r="A660" s="13"/>
    </row>
    <row r="661" spans="1:1" x14ac:dyDescent="0.3">
      <c r="A661" s="13"/>
    </row>
    <row r="662" spans="1:1" x14ac:dyDescent="0.3">
      <c r="A662" s="13"/>
    </row>
    <row r="663" spans="1:1" x14ac:dyDescent="0.3">
      <c r="A663" s="13"/>
    </row>
    <row r="664" spans="1:1" x14ac:dyDescent="0.3">
      <c r="A664" s="13"/>
    </row>
    <row r="665" spans="1:1" x14ac:dyDescent="0.3">
      <c r="A665" s="13"/>
    </row>
    <row r="666" spans="1:1" x14ac:dyDescent="0.3">
      <c r="A666" s="13"/>
    </row>
    <row r="667" spans="1:1" x14ac:dyDescent="0.3">
      <c r="A667" s="13"/>
    </row>
    <row r="668" spans="1:1" x14ac:dyDescent="0.3">
      <c r="A668" s="13"/>
    </row>
    <row r="669" spans="1:1" x14ac:dyDescent="0.3">
      <c r="A669" s="13"/>
    </row>
    <row r="670" spans="1:1" x14ac:dyDescent="0.3">
      <c r="A670" s="13"/>
    </row>
    <row r="671" spans="1:1" x14ac:dyDescent="0.3">
      <c r="A671" s="13"/>
    </row>
    <row r="672" spans="1:1" x14ac:dyDescent="0.3">
      <c r="A672" s="13"/>
    </row>
    <row r="673" spans="1:1" x14ac:dyDescent="0.3">
      <c r="A673" s="13"/>
    </row>
    <row r="674" spans="1:1" x14ac:dyDescent="0.3">
      <c r="A674" s="13"/>
    </row>
    <row r="675" spans="1:1" x14ac:dyDescent="0.3">
      <c r="A675" s="13"/>
    </row>
    <row r="676" spans="1:1" x14ac:dyDescent="0.3">
      <c r="A676" s="13"/>
    </row>
    <row r="677" spans="1:1" x14ac:dyDescent="0.3">
      <c r="A677" s="13"/>
    </row>
    <row r="678" spans="1:1" x14ac:dyDescent="0.3">
      <c r="A678" s="13"/>
    </row>
    <row r="679" spans="1:1" x14ac:dyDescent="0.3">
      <c r="A679" s="13"/>
    </row>
    <row r="680" spans="1:1" x14ac:dyDescent="0.3">
      <c r="A680" s="13"/>
    </row>
    <row r="681" spans="1:1" x14ac:dyDescent="0.3">
      <c r="A681" s="13"/>
    </row>
    <row r="682" spans="1:1" x14ac:dyDescent="0.3">
      <c r="A682" s="13"/>
    </row>
    <row r="683" spans="1:1" x14ac:dyDescent="0.3">
      <c r="A683" s="13"/>
    </row>
    <row r="684" spans="1:1" x14ac:dyDescent="0.3">
      <c r="A684" s="13"/>
    </row>
    <row r="685" spans="1:1" x14ac:dyDescent="0.3">
      <c r="A685" s="13"/>
    </row>
    <row r="686" spans="1:1" x14ac:dyDescent="0.3">
      <c r="A686" s="13"/>
    </row>
    <row r="687" spans="1:1" x14ac:dyDescent="0.3">
      <c r="A687" s="13"/>
    </row>
    <row r="688" spans="1:1" x14ac:dyDescent="0.3">
      <c r="A688" s="13"/>
    </row>
    <row r="689" spans="1:1" x14ac:dyDescent="0.3">
      <c r="A689" s="13"/>
    </row>
    <row r="690" spans="1:1" x14ac:dyDescent="0.3">
      <c r="A690" s="13"/>
    </row>
    <row r="691" spans="1:1" x14ac:dyDescent="0.3">
      <c r="A691" s="13"/>
    </row>
    <row r="692" spans="1:1" x14ac:dyDescent="0.3">
      <c r="A692" s="13"/>
    </row>
    <row r="693" spans="1:1" x14ac:dyDescent="0.3">
      <c r="A693" s="13"/>
    </row>
    <row r="694" spans="1:1" x14ac:dyDescent="0.3">
      <c r="A694" s="13"/>
    </row>
    <row r="695" spans="1:1" x14ac:dyDescent="0.3">
      <c r="A695" s="13"/>
    </row>
    <row r="696" spans="1:1" x14ac:dyDescent="0.3">
      <c r="A696" s="13"/>
    </row>
    <row r="697" spans="1:1" x14ac:dyDescent="0.3">
      <c r="A697" s="13"/>
    </row>
    <row r="698" spans="1:1" x14ac:dyDescent="0.3">
      <c r="A698" s="13"/>
    </row>
    <row r="699" spans="1:1" x14ac:dyDescent="0.3">
      <c r="A699" s="13"/>
    </row>
    <row r="700" spans="1:1" x14ac:dyDescent="0.3">
      <c r="A700" s="13"/>
    </row>
    <row r="701" spans="1:1" x14ac:dyDescent="0.3">
      <c r="A701" s="13"/>
    </row>
    <row r="702" spans="1:1" x14ac:dyDescent="0.3">
      <c r="A702" s="13"/>
    </row>
    <row r="703" spans="1:1" x14ac:dyDescent="0.3">
      <c r="A703" s="13"/>
    </row>
    <row r="704" spans="1:1" x14ac:dyDescent="0.3">
      <c r="A704" s="13"/>
    </row>
    <row r="705" spans="1:1" x14ac:dyDescent="0.3">
      <c r="A705" s="13"/>
    </row>
    <row r="706" spans="1:1" x14ac:dyDescent="0.3">
      <c r="A706" s="13"/>
    </row>
    <row r="707" spans="1:1" x14ac:dyDescent="0.3">
      <c r="A707" s="13"/>
    </row>
    <row r="708" spans="1:1" x14ac:dyDescent="0.3">
      <c r="A708" s="13"/>
    </row>
    <row r="709" spans="1:1" x14ac:dyDescent="0.3">
      <c r="A709" s="13"/>
    </row>
    <row r="710" spans="1:1" x14ac:dyDescent="0.3">
      <c r="A710" s="13"/>
    </row>
    <row r="711" spans="1:1" x14ac:dyDescent="0.3">
      <c r="A711" s="13"/>
    </row>
    <row r="712" spans="1:1" x14ac:dyDescent="0.3">
      <c r="A712" s="13"/>
    </row>
    <row r="713" spans="1:1" x14ac:dyDescent="0.3">
      <c r="A713" s="13"/>
    </row>
    <row r="714" spans="1:1" x14ac:dyDescent="0.3">
      <c r="A714" s="13"/>
    </row>
    <row r="715" spans="1:1" x14ac:dyDescent="0.3">
      <c r="A715" s="13"/>
    </row>
    <row r="716" spans="1:1" x14ac:dyDescent="0.3">
      <c r="A716" s="13"/>
    </row>
    <row r="717" spans="1:1" x14ac:dyDescent="0.3">
      <c r="A717" s="13"/>
    </row>
    <row r="718" spans="1:1" x14ac:dyDescent="0.3">
      <c r="A718" s="13"/>
    </row>
    <row r="719" spans="1:1" x14ac:dyDescent="0.3">
      <c r="A719" s="13"/>
    </row>
    <row r="720" spans="1:1" x14ac:dyDescent="0.3">
      <c r="A720" s="13"/>
    </row>
    <row r="721" spans="1:1" x14ac:dyDescent="0.3">
      <c r="A721" s="13"/>
    </row>
    <row r="722" spans="1:1" x14ac:dyDescent="0.3">
      <c r="A722" s="13"/>
    </row>
    <row r="723" spans="1:1" x14ac:dyDescent="0.3">
      <c r="A723" s="13"/>
    </row>
    <row r="724" spans="1:1" x14ac:dyDescent="0.3">
      <c r="A724" s="13"/>
    </row>
    <row r="725" spans="1:1" x14ac:dyDescent="0.3">
      <c r="A725" s="13"/>
    </row>
    <row r="726" spans="1:1" x14ac:dyDescent="0.3">
      <c r="A726" s="13"/>
    </row>
    <row r="727" spans="1:1" x14ac:dyDescent="0.3">
      <c r="A727" s="13"/>
    </row>
    <row r="728" spans="1:1" x14ac:dyDescent="0.3">
      <c r="A728" s="13"/>
    </row>
    <row r="729" spans="1:1" x14ac:dyDescent="0.3">
      <c r="A729" s="13"/>
    </row>
    <row r="730" spans="1:1" x14ac:dyDescent="0.3">
      <c r="A730" s="13"/>
    </row>
    <row r="731" spans="1:1" x14ac:dyDescent="0.3">
      <c r="A731" s="13"/>
    </row>
    <row r="732" spans="1:1" x14ac:dyDescent="0.3">
      <c r="A732" s="13"/>
    </row>
    <row r="733" spans="1:1" x14ac:dyDescent="0.3">
      <c r="A733" s="13"/>
    </row>
    <row r="734" spans="1:1" x14ac:dyDescent="0.3">
      <c r="A734" s="13"/>
    </row>
    <row r="735" spans="1:1" x14ac:dyDescent="0.3">
      <c r="A735" s="13"/>
    </row>
    <row r="736" spans="1:1" x14ac:dyDescent="0.3">
      <c r="A736" s="13"/>
    </row>
    <row r="737" spans="1:1" x14ac:dyDescent="0.3">
      <c r="A737" s="13"/>
    </row>
    <row r="738" spans="1:1" x14ac:dyDescent="0.3">
      <c r="A738" s="13"/>
    </row>
    <row r="739" spans="1:1" x14ac:dyDescent="0.3">
      <c r="A739" s="13"/>
    </row>
    <row r="740" spans="1:1" x14ac:dyDescent="0.3">
      <c r="A740" s="13"/>
    </row>
    <row r="741" spans="1:1" x14ac:dyDescent="0.3">
      <c r="A741" s="13"/>
    </row>
    <row r="742" spans="1:1" x14ac:dyDescent="0.3">
      <c r="A742" s="13"/>
    </row>
    <row r="743" spans="1:1" x14ac:dyDescent="0.3">
      <c r="A743" s="13"/>
    </row>
    <row r="744" spans="1:1" x14ac:dyDescent="0.3">
      <c r="A744" s="13"/>
    </row>
    <row r="745" spans="1:1" x14ac:dyDescent="0.3">
      <c r="A745" s="13"/>
    </row>
    <row r="746" spans="1:1" x14ac:dyDescent="0.3">
      <c r="A746" s="13"/>
    </row>
    <row r="747" spans="1:1" x14ac:dyDescent="0.3">
      <c r="A747" s="13"/>
    </row>
    <row r="748" spans="1:1" x14ac:dyDescent="0.3">
      <c r="A748" s="13"/>
    </row>
    <row r="749" spans="1:1" x14ac:dyDescent="0.3">
      <c r="A749" s="13"/>
    </row>
    <row r="750" spans="1:1" x14ac:dyDescent="0.3">
      <c r="A750" s="13"/>
    </row>
    <row r="751" spans="1:1" x14ac:dyDescent="0.3">
      <c r="A751" s="13"/>
    </row>
    <row r="752" spans="1:1" x14ac:dyDescent="0.3">
      <c r="A752" s="13"/>
    </row>
    <row r="753" spans="1:1" x14ac:dyDescent="0.3">
      <c r="A753" s="13"/>
    </row>
    <row r="754" spans="1:1" x14ac:dyDescent="0.3">
      <c r="A754" s="13"/>
    </row>
    <row r="755" spans="1:1" x14ac:dyDescent="0.3">
      <c r="A755" s="13"/>
    </row>
    <row r="756" spans="1:1" x14ac:dyDescent="0.3">
      <c r="A756" s="13"/>
    </row>
    <row r="757" spans="1:1" x14ac:dyDescent="0.3">
      <c r="A757" s="13"/>
    </row>
    <row r="758" spans="1:1" x14ac:dyDescent="0.3">
      <c r="A758" s="13"/>
    </row>
    <row r="759" spans="1:1" x14ac:dyDescent="0.3">
      <c r="A759" s="13"/>
    </row>
    <row r="760" spans="1:1" x14ac:dyDescent="0.3">
      <c r="A760" s="13"/>
    </row>
    <row r="761" spans="1:1" x14ac:dyDescent="0.3">
      <c r="A761" s="13"/>
    </row>
    <row r="762" spans="1:1" x14ac:dyDescent="0.3">
      <c r="A762" s="13"/>
    </row>
    <row r="763" spans="1:1" x14ac:dyDescent="0.3">
      <c r="A763" s="13"/>
    </row>
    <row r="764" spans="1:1" x14ac:dyDescent="0.3">
      <c r="A764" s="13"/>
    </row>
    <row r="765" spans="1:1" x14ac:dyDescent="0.3">
      <c r="A765" s="13"/>
    </row>
    <row r="766" spans="1:1" x14ac:dyDescent="0.3">
      <c r="A766" s="13"/>
    </row>
    <row r="767" spans="1:1" x14ac:dyDescent="0.3">
      <c r="A767" s="13"/>
    </row>
    <row r="768" spans="1:1" x14ac:dyDescent="0.3">
      <c r="A768" s="13"/>
    </row>
    <row r="769" spans="1:1" x14ac:dyDescent="0.3">
      <c r="A769" s="13"/>
    </row>
    <row r="770" spans="1:1" x14ac:dyDescent="0.3">
      <c r="A770" s="13"/>
    </row>
    <row r="771" spans="1:1" x14ac:dyDescent="0.3">
      <c r="A771" s="13"/>
    </row>
    <row r="772" spans="1:1" x14ac:dyDescent="0.3">
      <c r="A772" s="13"/>
    </row>
    <row r="773" spans="1:1" x14ac:dyDescent="0.3">
      <c r="A773" s="13"/>
    </row>
    <row r="774" spans="1:1" x14ac:dyDescent="0.3">
      <c r="A774" s="13"/>
    </row>
    <row r="775" spans="1:1" x14ac:dyDescent="0.3">
      <c r="A775" s="13"/>
    </row>
    <row r="776" spans="1:1" x14ac:dyDescent="0.3">
      <c r="A776" s="13"/>
    </row>
    <row r="777" spans="1:1" x14ac:dyDescent="0.3">
      <c r="A777" s="13"/>
    </row>
    <row r="778" spans="1:1" x14ac:dyDescent="0.3">
      <c r="A778" s="13"/>
    </row>
    <row r="779" spans="1:1" x14ac:dyDescent="0.3">
      <c r="A779" s="13"/>
    </row>
    <row r="780" spans="1:1" x14ac:dyDescent="0.3">
      <c r="A780" s="13"/>
    </row>
    <row r="781" spans="1:1" x14ac:dyDescent="0.3">
      <c r="A781" s="13"/>
    </row>
    <row r="782" spans="1:1" x14ac:dyDescent="0.3">
      <c r="A782" s="13"/>
    </row>
    <row r="783" spans="1:1" x14ac:dyDescent="0.3">
      <c r="A783" s="13"/>
    </row>
    <row r="784" spans="1:1" x14ac:dyDescent="0.3">
      <c r="A784" s="13"/>
    </row>
    <row r="785" spans="1:1" x14ac:dyDescent="0.3">
      <c r="A785" s="13"/>
    </row>
    <row r="786" spans="1:1" x14ac:dyDescent="0.3">
      <c r="A786" s="13"/>
    </row>
    <row r="787" spans="1:1" x14ac:dyDescent="0.3">
      <c r="A787" s="13"/>
    </row>
    <row r="788" spans="1:1" x14ac:dyDescent="0.3">
      <c r="A788" s="13"/>
    </row>
    <row r="789" spans="1:1" x14ac:dyDescent="0.3">
      <c r="A789" s="13"/>
    </row>
    <row r="790" spans="1:1" x14ac:dyDescent="0.3">
      <c r="A790" s="13"/>
    </row>
    <row r="791" spans="1:1" x14ac:dyDescent="0.3">
      <c r="A791" s="13"/>
    </row>
    <row r="792" spans="1:1" x14ac:dyDescent="0.3">
      <c r="A792" s="13"/>
    </row>
    <row r="793" spans="1:1" x14ac:dyDescent="0.3">
      <c r="A793" s="13"/>
    </row>
    <row r="794" spans="1:1" x14ac:dyDescent="0.3">
      <c r="A794" s="13"/>
    </row>
    <row r="795" spans="1:1" x14ac:dyDescent="0.3">
      <c r="A795" s="13"/>
    </row>
    <row r="796" spans="1:1" x14ac:dyDescent="0.3">
      <c r="A796" s="13"/>
    </row>
    <row r="797" spans="1:1" x14ac:dyDescent="0.3">
      <c r="A797" s="13"/>
    </row>
    <row r="798" spans="1:1" x14ac:dyDescent="0.3">
      <c r="A798" s="13"/>
    </row>
    <row r="799" spans="1:1" x14ac:dyDescent="0.3">
      <c r="A799" s="13"/>
    </row>
    <row r="800" spans="1:1" x14ac:dyDescent="0.3">
      <c r="A800" s="13"/>
    </row>
    <row r="801" spans="1:1" x14ac:dyDescent="0.3">
      <c r="A801" s="13"/>
    </row>
    <row r="802" spans="1:1" x14ac:dyDescent="0.3">
      <c r="A802" s="13"/>
    </row>
    <row r="803" spans="1:1" x14ac:dyDescent="0.3">
      <c r="A803" s="13"/>
    </row>
    <row r="804" spans="1:1" x14ac:dyDescent="0.3">
      <c r="A804" s="13"/>
    </row>
    <row r="805" spans="1:1" x14ac:dyDescent="0.3">
      <c r="A805" s="13"/>
    </row>
    <row r="806" spans="1:1" x14ac:dyDescent="0.3">
      <c r="A806" s="13"/>
    </row>
    <row r="807" spans="1:1" x14ac:dyDescent="0.3">
      <c r="A807" s="13"/>
    </row>
    <row r="808" spans="1:1" x14ac:dyDescent="0.3">
      <c r="A808" s="13"/>
    </row>
    <row r="809" spans="1:1" x14ac:dyDescent="0.3">
      <c r="A809" s="13"/>
    </row>
    <row r="810" spans="1:1" x14ac:dyDescent="0.3">
      <c r="A810" s="13"/>
    </row>
    <row r="811" spans="1:1" x14ac:dyDescent="0.3">
      <c r="A811" s="13"/>
    </row>
    <row r="812" spans="1:1" x14ac:dyDescent="0.3">
      <c r="A812" s="13"/>
    </row>
    <row r="813" spans="1:1" x14ac:dyDescent="0.3">
      <c r="A813" s="13"/>
    </row>
    <row r="814" spans="1:1" x14ac:dyDescent="0.3">
      <c r="A814" s="13"/>
    </row>
    <row r="815" spans="1:1" x14ac:dyDescent="0.3">
      <c r="A815" s="13"/>
    </row>
    <row r="816" spans="1:1" x14ac:dyDescent="0.3">
      <c r="A816" s="13"/>
    </row>
    <row r="817" spans="1:1" x14ac:dyDescent="0.3">
      <c r="A817" s="13"/>
    </row>
    <row r="818" spans="1:1" x14ac:dyDescent="0.3">
      <c r="A818" s="13"/>
    </row>
    <row r="819" spans="1:1" x14ac:dyDescent="0.3">
      <c r="A819" s="13"/>
    </row>
    <row r="820" spans="1:1" x14ac:dyDescent="0.3">
      <c r="A820" s="13"/>
    </row>
    <row r="821" spans="1:1" x14ac:dyDescent="0.3">
      <c r="A821" s="13"/>
    </row>
    <row r="822" spans="1:1" x14ac:dyDescent="0.3">
      <c r="A822" s="13"/>
    </row>
    <row r="823" spans="1:1" x14ac:dyDescent="0.3">
      <c r="A823" s="13"/>
    </row>
    <row r="824" spans="1:1" x14ac:dyDescent="0.3">
      <c r="A824" s="13"/>
    </row>
    <row r="825" spans="1:1" x14ac:dyDescent="0.3">
      <c r="A825" s="13"/>
    </row>
    <row r="826" spans="1:1" x14ac:dyDescent="0.3">
      <c r="A826" s="13"/>
    </row>
    <row r="827" spans="1:1" x14ac:dyDescent="0.3">
      <c r="A827" s="13"/>
    </row>
    <row r="828" spans="1:1" x14ac:dyDescent="0.3">
      <c r="A828" s="13"/>
    </row>
    <row r="829" spans="1:1" x14ac:dyDescent="0.3">
      <c r="A829" s="13"/>
    </row>
    <row r="830" spans="1:1" x14ac:dyDescent="0.3">
      <c r="A830" s="13"/>
    </row>
    <row r="831" spans="1:1" x14ac:dyDescent="0.3">
      <c r="A831" s="13"/>
    </row>
    <row r="832" spans="1:1" x14ac:dyDescent="0.3">
      <c r="A832" s="13"/>
    </row>
    <row r="833" spans="1:1" x14ac:dyDescent="0.3">
      <c r="A833" s="13"/>
    </row>
    <row r="834" spans="1:1" x14ac:dyDescent="0.3">
      <c r="A834" s="13"/>
    </row>
    <row r="835" spans="1:1" x14ac:dyDescent="0.3">
      <c r="A835" s="13"/>
    </row>
    <row r="836" spans="1:1" x14ac:dyDescent="0.3">
      <c r="A836" s="13"/>
    </row>
    <row r="837" spans="1:1" x14ac:dyDescent="0.3">
      <c r="A837" s="13"/>
    </row>
    <row r="838" spans="1:1" x14ac:dyDescent="0.3">
      <c r="A838" s="13"/>
    </row>
    <row r="839" spans="1:1" x14ac:dyDescent="0.3">
      <c r="A839" s="13"/>
    </row>
    <row r="840" spans="1:1" x14ac:dyDescent="0.3">
      <c r="A840" s="13"/>
    </row>
    <row r="841" spans="1:1" x14ac:dyDescent="0.3">
      <c r="A841" s="13"/>
    </row>
    <row r="842" spans="1:1" x14ac:dyDescent="0.3">
      <c r="A842" s="13"/>
    </row>
    <row r="843" spans="1:1" x14ac:dyDescent="0.3">
      <c r="A843" s="13"/>
    </row>
    <row r="844" spans="1:1" x14ac:dyDescent="0.3">
      <c r="A844" s="13"/>
    </row>
    <row r="845" spans="1:1" x14ac:dyDescent="0.3">
      <c r="A845" s="13"/>
    </row>
    <row r="846" spans="1:1" x14ac:dyDescent="0.3">
      <c r="A846" s="13"/>
    </row>
    <row r="847" spans="1:1" x14ac:dyDescent="0.3">
      <c r="A847" s="13"/>
    </row>
    <row r="848" spans="1:1" x14ac:dyDescent="0.3">
      <c r="A848" s="13"/>
    </row>
    <row r="849" spans="1:1" x14ac:dyDescent="0.3">
      <c r="A849" s="13"/>
    </row>
    <row r="850" spans="1:1" x14ac:dyDescent="0.3">
      <c r="A850" s="13"/>
    </row>
    <row r="851" spans="1:1" x14ac:dyDescent="0.3">
      <c r="A851" s="13"/>
    </row>
    <row r="852" spans="1:1" x14ac:dyDescent="0.3">
      <c r="A852" s="13"/>
    </row>
    <row r="853" spans="1:1" x14ac:dyDescent="0.3">
      <c r="A853" s="13"/>
    </row>
    <row r="854" spans="1:1" x14ac:dyDescent="0.3">
      <c r="A854" s="13"/>
    </row>
    <row r="855" spans="1:1" x14ac:dyDescent="0.3">
      <c r="A855" s="13"/>
    </row>
    <row r="856" spans="1:1" x14ac:dyDescent="0.3">
      <c r="A856" s="13"/>
    </row>
    <row r="857" spans="1:1" x14ac:dyDescent="0.3">
      <c r="A857" s="13"/>
    </row>
    <row r="858" spans="1:1" x14ac:dyDescent="0.3">
      <c r="A858" s="13"/>
    </row>
    <row r="859" spans="1:1" x14ac:dyDescent="0.3">
      <c r="A859" s="13"/>
    </row>
    <row r="860" spans="1:1" x14ac:dyDescent="0.3">
      <c r="A860" s="13"/>
    </row>
    <row r="861" spans="1:1" x14ac:dyDescent="0.3">
      <c r="A861" s="13"/>
    </row>
    <row r="862" spans="1:1" x14ac:dyDescent="0.3">
      <c r="A862" s="13"/>
    </row>
    <row r="863" spans="1:1" x14ac:dyDescent="0.3">
      <c r="A863" s="13"/>
    </row>
    <row r="864" spans="1:1" x14ac:dyDescent="0.3">
      <c r="A864" s="13"/>
    </row>
    <row r="865" spans="1:1" x14ac:dyDescent="0.3">
      <c r="A865" s="13"/>
    </row>
    <row r="866" spans="1:1" x14ac:dyDescent="0.3">
      <c r="A866" s="13"/>
    </row>
    <row r="867" spans="1:1" x14ac:dyDescent="0.3">
      <c r="A867" s="13"/>
    </row>
    <row r="868" spans="1:1" x14ac:dyDescent="0.3">
      <c r="A868" s="13"/>
    </row>
    <row r="869" spans="1:1" x14ac:dyDescent="0.3">
      <c r="A869" s="13"/>
    </row>
    <row r="870" spans="1:1" x14ac:dyDescent="0.3">
      <c r="A870" s="13"/>
    </row>
    <row r="871" spans="1:1" x14ac:dyDescent="0.3">
      <c r="A871" s="13"/>
    </row>
    <row r="872" spans="1:1" x14ac:dyDescent="0.3">
      <c r="A872" s="13"/>
    </row>
    <row r="873" spans="1:1" x14ac:dyDescent="0.3">
      <c r="A873" s="13"/>
    </row>
    <row r="874" spans="1:1" x14ac:dyDescent="0.3">
      <c r="A874" s="13"/>
    </row>
    <row r="875" spans="1:1" x14ac:dyDescent="0.3">
      <c r="A875" s="13"/>
    </row>
    <row r="876" spans="1:1" x14ac:dyDescent="0.3">
      <c r="A876" s="13"/>
    </row>
    <row r="877" spans="1:1" x14ac:dyDescent="0.3">
      <c r="A877" s="13"/>
    </row>
    <row r="878" spans="1:1" x14ac:dyDescent="0.3">
      <c r="A878" s="13"/>
    </row>
    <row r="879" spans="1:1" x14ac:dyDescent="0.3">
      <c r="A879" s="13"/>
    </row>
    <row r="880" spans="1:1" x14ac:dyDescent="0.3">
      <c r="A880" s="13"/>
    </row>
    <row r="881" spans="1:1" x14ac:dyDescent="0.3">
      <c r="A881" s="13"/>
    </row>
    <row r="882" spans="1:1" x14ac:dyDescent="0.3">
      <c r="A882" s="13"/>
    </row>
    <row r="883" spans="1:1" x14ac:dyDescent="0.3">
      <c r="A883" s="13"/>
    </row>
    <row r="884" spans="1:1" x14ac:dyDescent="0.3">
      <c r="A884" s="13"/>
    </row>
    <row r="885" spans="1:1" x14ac:dyDescent="0.3">
      <c r="A885" s="13"/>
    </row>
    <row r="886" spans="1:1" x14ac:dyDescent="0.3">
      <c r="A886" s="13"/>
    </row>
    <row r="887" spans="1:1" x14ac:dyDescent="0.3">
      <c r="A887" s="13"/>
    </row>
    <row r="888" spans="1:1" x14ac:dyDescent="0.3">
      <c r="A888" s="13"/>
    </row>
    <row r="889" spans="1:1" x14ac:dyDescent="0.3">
      <c r="A889" s="13"/>
    </row>
    <row r="890" spans="1:1" x14ac:dyDescent="0.3">
      <c r="A890" s="13"/>
    </row>
    <row r="891" spans="1:1" x14ac:dyDescent="0.3">
      <c r="A891" s="13"/>
    </row>
    <row r="892" spans="1:1" x14ac:dyDescent="0.3">
      <c r="A892" s="13"/>
    </row>
    <row r="893" spans="1:1" x14ac:dyDescent="0.3">
      <c r="A893" s="13"/>
    </row>
    <row r="894" spans="1:1" x14ac:dyDescent="0.3">
      <c r="A894" s="13"/>
    </row>
    <row r="895" spans="1:1" x14ac:dyDescent="0.3">
      <c r="A895" s="13"/>
    </row>
    <row r="896" spans="1:1" x14ac:dyDescent="0.3">
      <c r="A896" s="13"/>
    </row>
    <row r="897" spans="1:1" x14ac:dyDescent="0.3">
      <c r="A897" s="13"/>
    </row>
    <row r="898" spans="1:1" x14ac:dyDescent="0.3">
      <c r="A898" s="13"/>
    </row>
    <row r="899" spans="1:1" x14ac:dyDescent="0.3">
      <c r="A899" s="13"/>
    </row>
    <row r="900" spans="1:1" x14ac:dyDescent="0.3">
      <c r="A900" s="13"/>
    </row>
    <row r="901" spans="1:1" x14ac:dyDescent="0.3">
      <c r="A901" s="13"/>
    </row>
    <row r="902" spans="1:1" x14ac:dyDescent="0.3">
      <c r="A902" s="13"/>
    </row>
    <row r="903" spans="1:1" x14ac:dyDescent="0.3">
      <c r="A903" s="13"/>
    </row>
    <row r="904" spans="1:1" x14ac:dyDescent="0.3">
      <c r="A904" s="13"/>
    </row>
    <row r="905" spans="1:1" x14ac:dyDescent="0.3">
      <c r="A905" s="13"/>
    </row>
    <row r="906" spans="1:1" x14ac:dyDescent="0.3">
      <c r="A906" s="13"/>
    </row>
    <row r="907" spans="1:1" x14ac:dyDescent="0.3">
      <c r="A907" s="13"/>
    </row>
    <row r="908" spans="1:1" x14ac:dyDescent="0.3">
      <c r="A908" s="13"/>
    </row>
    <row r="909" spans="1:1" x14ac:dyDescent="0.3">
      <c r="A909" s="13"/>
    </row>
    <row r="910" spans="1:1" x14ac:dyDescent="0.3">
      <c r="A910" s="13"/>
    </row>
    <row r="911" spans="1:1" x14ac:dyDescent="0.3">
      <c r="A911" s="13"/>
    </row>
    <row r="912" spans="1:1" x14ac:dyDescent="0.3">
      <c r="A912" s="13"/>
    </row>
    <row r="913" spans="1:1" x14ac:dyDescent="0.3">
      <c r="A913" s="13"/>
    </row>
    <row r="914" spans="1:1" x14ac:dyDescent="0.3">
      <c r="A914" s="13"/>
    </row>
    <row r="915" spans="1:1" x14ac:dyDescent="0.3">
      <c r="A915" s="13"/>
    </row>
    <row r="916" spans="1:1" x14ac:dyDescent="0.3">
      <c r="A916" s="13"/>
    </row>
    <row r="917" spans="1:1" x14ac:dyDescent="0.3">
      <c r="A917" s="13"/>
    </row>
    <row r="918" spans="1:1" x14ac:dyDescent="0.3">
      <c r="A918" s="13"/>
    </row>
    <row r="919" spans="1:1" x14ac:dyDescent="0.3">
      <c r="A919" s="13"/>
    </row>
    <row r="920" spans="1:1" x14ac:dyDescent="0.3">
      <c r="A920" s="13"/>
    </row>
    <row r="921" spans="1:1" x14ac:dyDescent="0.3">
      <c r="A921" s="13"/>
    </row>
    <row r="922" spans="1:1" x14ac:dyDescent="0.3">
      <c r="A922" s="13"/>
    </row>
    <row r="923" spans="1:1" x14ac:dyDescent="0.3">
      <c r="A923" s="13"/>
    </row>
    <row r="924" spans="1:1" x14ac:dyDescent="0.3">
      <c r="A924" s="13"/>
    </row>
    <row r="925" spans="1:1" x14ac:dyDescent="0.3">
      <c r="A925" s="13"/>
    </row>
    <row r="926" spans="1:1" x14ac:dyDescent="0.3">
      <c r="A926" s="13"/>
    </row>
    <row r="927" spans="1:1" x14ac:dyDescent="0.3">
      <c r="A927" s="13"/>
    </row>
    <row r="928" spans="1:1" x14ac:dyDescent="0.3">
      <c r="A928" s="13"/>
    </row>
    <row r="929" spans="1:1" x14ac:dyDescent="0.3">
      <c r="A929" s="13"/>
    </row>
    <row r="930" spans="1:1" x14ac:dyDescent="0.3">
      <c r="A930" s="13"/>
    </row>
    <row r="931" spans="1:1" x14ac:dyDescent="0.3">
      <c r="A931" s="13"/>
    </row>
    <row r="932" spans="1:1" x14ac:dyDescent="0.3">
      <c r="A932" s="13"/>
    </row>
    <row r="933" spans="1:1" x14ac:dyDescent="0.3">
      <c r="A933" s="13"/>
    </row>
    <row r="934" spans="1:1" x14ac:dyDescent="0.3">
      <c r="A934" s="13"/>
    </row>
    <row r="935" spans="1:1" x14ac:dyDescent="0.3">
      <c r="A935" s="13"/>
    </row>
    <row r="936" spans="1:1" x14ac:dyDescent="0.3">
      <c r="A936" s="13"/>
    </row>
    <row r="937" spans="1:1" x14ac:dyDescent="0.3">
      <c r="A937" s="13"/>
    </row>
    <row r="938" spans="1:1" x14ac:dyDescent="0.3">
      <c r="A938" s="13"/>
    </row>
    <row r="939" spans="1:1" x14ac:dyDescent="0.3">
      <c r="A939" s="13"/>
    </row>
    <row r="940" spans="1:1" x14ac:dyDescent="0.3">
      <c r="A940" s="13"/>
    </row>
    <row r="941" spans="1:1" x14ac:dyDescent="0.3">
      <c r="A941" s="13"/>
    </row>
    <row r="942" spans="1:1" x14ac:dyDescent="0.3">
      <c r="A942" s="13"/>
    </row>
    <row r="943" spans="1:1" x14ac:dyDescent="0.3">
      <c r="A943" s="13"/>
    </row>
    <row r="944" spans="1:1" x14ac:dyDescent="0.3">
      <c r="A944" s="13"/>
    </row>
    <row r="945" spans="1:1" x14ac:dyDescent="0.3">
      <c r="A945" s="13"/>
    </row>
    <row r="946" spans="1:1" x14ac:dyDescent="0.3">
      <c r="A946" s="13"/>
    </row>
    <row r="947" spans="1:1" x14ac:dyDescent="0.3">
      <c r="A947" s="13"/>
    </row>
    <row r="948" spans="1:1" x14ac:dyDescent="0.3">
      <c r="A948" s="13"/>
    </row>
    <row r="949" spans="1:1" x14ac:dyDescent="0.3">
      <c r="A949" s="13"/>
    </row>
    <row r="950" spans="1:1" x14ac:dyDescent="0.3">
      <c r="A950" s="13"/>
    </row>
    <row r="951" spans="1:1" x14ac:dyDescent="0.3">
      <c r="A951" s="13"/>
    </row>
    <row r="952" spans="1:1" x14ac:dyDescent="0.3">
      <c r="A952" s="13"/>
    </row>
    <row r="953" spans="1:1" x14ac:dyDescent="0.3">
      <c r="A953" s="13"/>
    </row>
    <row r="954" spans="1:1" x14ac:dyDescent="0.3">
      <c r="A954" s="13"/>
    </row>
    <row r="955" spans="1:1" x14ac:dyDescent="0.3">
      <c r="A955" s="13"/>
    </row>
    <row r="956" spans="1:1" x14ac:dyDescent="0.3">
      <c r="A956" s="13"/>
    </row>
    <row r="957" spans="1:1" x14ac:dyDescent="0.3">
      <c r="A957" s="13"/>
    </row>
    <row r="958" spans="1:1" x14ac:dyDescent="0.3">
      <c r="A958" s="13"/>
    </row>
    <row r="959" spans="1:1" x14ac:dyDescent="0.3">
      <c r="A959" s="13"/>
    </row>
    <row r="960" spans="1:1" x14ac:dyDescent="0.3">
      <c r="A960" s="13"/>
    </row>
    <row r="961" spans="1:1" x14ac:dyDescent="0.3">
      <c r="A961" s="13"/>
    </row>
    <row r="962" spans="1:1" x14ac:dyDescent="0.3">
      <c r="A962" s="13"/>
    </row>
    <row r="963" spans="1:1" x14ac:dyDescent="0.3">
      <c r="A963" s="13"/>
    </row>
    <row r="964" spans="1:1" x14ac:dyDescent="0.3">
      <c r="A964" s="13"/>
    </row>
    <row r="965" spans="1:1" x14ac:dyDescent="0.3">
      <c r="A965" s="13"/>
    </row>
    <row r="966" spans="1:1" x14ac:dyDescent="0.3">
      <c r="A966" s="13"/>
    </row>
    <row r="967" spans="1:1" x14ac:dyDescent="0.3">
      <c r="A967" s="13"/>
    </row>
    <row r="968" spans="1:1" x14ac:dyDescent="0.3">
      <c r="A968" s="13"/>
    </row>
    <row r="969" spans="1:1" x14ac:dyDescent="0.3">
      <c r="A969" s="13"/>
    </row>
    <row r="970" spans="1:1" x14ac:dyDescent="0.3">
      <c r="A970" s="13"/>
    </row>
    <row r="971" spans="1:1" x14ac:dyDescent="0.3">
      <c r="A971" s="13"/>
    </row>
    <row r="972" spans="1:1" x14ac:dyDescent="0.3">
      <c r="A972" s="13"/>
    </row>
    <row r="973" spans="1:1" x14ac:dyDescent="0.3">
      <c r="A973" s="13"/>
    </row>
    <row r="974" spans="1:1" x14ac:dyDescent="0.3">
      <c r="A974" s="13"/>
    </row>
    <row r="975" spans="1:1" x14ac:dyDescent="0.3">
      <c r="A975" s="13"/>
    </row>
    <row r="976" spans="1:1" x14ac:dyDescent="0.3">
      <c r="A976" s="13"/>
    </row>
    <row r="977" spans="1:1" x14ac:dyDescent="0.3">
      <c r="A977" s="13"/>
    </row>
    <row r="978" spans="1:1" x14ac:dyDescent="0.3">
      <c r="A978" s="13"/>
    </row>
    <row r="979" spans="1:1" x14ac:dyDescent="0.3">
      <c r="A979" s="13"/>
    </row>
    <row r="980" spans="1:1" x14ac:dyDescent="0.3">
      <c r="A980" s="13"/>
    </row>
    <row r="981" spans="1:1" x14ac:dyDescent="0.3">
      <c r="A981" s="13"/>
    </row>
    <row r="982" spans="1:1" x14ac:dyDescent="0.3">
      <c r="A982" s="13"/>
    </row>
    <row r="983" spans="1:1" x14ac:dyDescent="0.3">
      <c r="A983" s="13"/>
    </row>
    <row r="984" spans="1:1" x14ac:dyDescent="0.3">
      <c r="A984" s="13"/>
    </row>
    <row r="985" spans="1:1" x14ac:dyDescent="0.3">
      <c r="A985" s="13"/>
    </row>
    <row r="986" spans="1:1" x14ac:dyDescent="0.3">
      <c r="A986" s="13"/>
    </row>
    <row r="987" spans="1:1" x14ac:dyDescent="0.3">
      <c r="A987" s="13"/>
    </row>
    <row r="988" spans="1:1" x14ac:dyDescent="0.3">
      <c r="A988" s="13"/>
    </row>
    <row r="989" spans="1:1" x14ac:dyDescent="0.3">
      <c r="A989" s="13"/>
    </row>
    <row r="990" spans="1:1" x14ac:dyDescent="0.3">
      <c r="A990" s="13"/>
    </row>
    <row r="991" spans="1:1" x14ac:dyDescent="0.3">
      <c r="A991" s="13"/>
    </row>
    <row r="992" spans="1:1" x14ac:dyDescent="0.3">
      <c r="A992" s="13"/>
    </row>
    <row r="993" spans="1:1" x14ac:dyDescent="0.3">
      <c r="A993" s="13"/>
    </row>
    <row r="994" spans="1:1" x14ac:dyDescent="0.3">
      <c r="A994" s="13"/>
    </row>
    <row r="995" spans="1:1" x14ac:dyDescent="0.3">
      <c r="A995" s="13"/>
    </row>
    <row r="996" spans="1:1" x14ac:dyDescent="0.3">
      <c r="A996" s="13"/>
    </row>
    <row r="997" spans="1:1" x14ac:dyDescent="0.3">
      <c r="A997" s="13"/>
    </row>
    <row r="998" spans="1:1" x14ac:dyDescent="0.3">
      <c r="A998" s="13"/>
    </row>
    <row r="999" spans="1:1" x14ac:dyDescent="0.3">
      <c r="A999" s="13"/>
    </row>
    <row r="1000" spans="1:1" x14ac:dyDescent="0.3">
      <c r="A1000" s="1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9AA7-2B45-4B62-AC9A-05140EDF314D}">
  <sheetPr codeName="Лист4"/>
  <dimension ref="A1:X1000"/>
  <sheetViews>
    <sheetView workbookViewId="0"/>
  </sheetViews>
  <sheetFormatPr defaultRowHeight="14.4" x14ac:dyDescent="0.3"/>
  <cols>
    <col min="1" max="1" width="10.1093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1.109375" bestFit="1" customWidth="1"/>
    <col min="6" max="6" width="20.88671875" bestFit="1" customWidth="1"/>
    <col min="7" max="7" width="22.109375" bestFit="1" customWidth="1"/>
    <col min="8" max="8" width="24.21875" bestFit="1" customWidth="1"/>
    <col min="9" max="9" width="9.5546875" bestFit="1" customWidth="1"/>
    <col min="10" max="24" width="11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</row>
    <row r="2" spans="1:24" x14ac:dyDescent="0.3">
      <c r="A2" s="13">
        <v>43982</v>
      </c>
      <c r="B2" t="s">
        <v>9</v>
      </c>
      <c r="C2">
        <v>7944</v>
      </c>
      <c r="D2">
        <v>623971.5</v>
      </c>
    </row>
    <row r="3" spans="1:24" x14ac:dyDescent="0.3">
      <c r="A3" s="13">
        <v>43981</v>
      </c>
      <c r="B3" t="s">
        <v>9</v>
      </c>
      <c r="C3">
        <v>10029</v>
      </c>
      <c r="D3">
        <v>787101</v>
      </c>
    </row>
    <row r="4" spans="1:24" x14ac:dyDescent="0.3">
      <c r="A4" s="13">
        <v>43979</v>
      </c>
      <c r="B4" t="s">
        <v>9</v>
      </c>
      <c r="C4">
        <v>8536.5</v>
      </c>
      <c r="D4">
        <v>643944</v>
      </c>
    </row>
    <row r="5" spans="1:24" x14ac:dyDescent="0.3">
      <c r="A5" s="13">
        <v>43967</v>
      </c>
      <c r="B5" t="s">
        <v>10</v>
      </c>
      <c r="C5">
        <v>38947.5</v>
      </c>
      <c r="D5">
        <v>3395892</v>
      </c>
    </row>
    <row r="6" spans="1:24" x14ac:dyDescent="0.3">
      <c r="A6" s="13">
        <v>43970</v>
      </c>
      <c r="B6" t="s">
        <v>10</v>
      </c>
      <c r="C6">
        <v>31842</v>
      </c>
      <c r="D6">
        <v>2771116.5</v>
      </c>
    </row>
    <row r="7" spans="1:24" x14ac:dyDescent="0.3">
      <c r="A7" s="13">
        <v>43968</v>
      </c>
      <c r="B7" t="s">
        <v>10</v>
      </c>
      <c r="C7">
        <v>32023.5</v>
      </c>
      <c r="D7">
        <v>2882458.5</v>
      </c>
    </row>
    <row r="8" spans="1:24" x14ac:dyDescent="0.3">
      <c r="A8" s="13">
        <v>43960</v>
      </c>
      <c r="B8" t="s">
        <v>10</v>
      </c>
      <c r="C8">
        <v>31147.5</v>
      </c>
      <c r="D8">
        <v>2831019</v>
      </c>
    </row>
    <row r="9" spans="1:24" x14ac:dyDescent="0.3">
      <c r="A9" s="13">
        <v>43955</v>
      </c>
      <c r="B9" t="s">
        <v>10</v>
      </c>
      <c r="C9">
        <v>25566</v>
      </c>
      <c r="D9">
        <v>2372310</v>
      </c>
    </row>
    <row r="10" spans="1:24" x14ac:dyDescent="0.3">
      <c r="A10" s="13">
        <v>43950</v>
      </c>
      <c r="B10" t="s">
        <v>10</v>
      </c>
      <c r="C10">
        <v>29319</v>
      </c>
      <c r="D10">
        <v>2623480.5</v>
      </c>
    </row>
    <row r="11" spans="1:24" x14ac:dyDescent="0.3">
      <c r="A11" s="13">
        <v>43953</v>
      </c>
      <c r="B11" t="s">
        <v>10</v>
      </c>
      <c r="C11">
        <v>29031</v>
      </c>
      <c r="D11">
        <v>2711247</v>
      </c>
    </row>
    <row r="12" spans="1:24" x14ac:dyDescent="0.3">
      <c r="A12" s="13">
        <v>43977</v>
      </c>
      <c r="B12" t="s">
        <v>10</v>
      </c>
      <c r="C12">
        <v>33423</v>
      </c>
      <c r="D12">
        <v>2970330</v>
      </c>
    </row>
    <row r="13" spans="1:24" x14ac:dyDescent="0.3">
      <c r="A13" s="13">
        <v>43952</v>
      </c>
      <c r="B13" t="s">
        <v>10</v>
      </c>
      <c r="C13">
        <v>32487</v>
      </c>
      <c r="D13">
        <v>3031254</v>
      </c>
    </row>
    <row r="14" spans="1:24" x14ac:dyDescent="0.3">
      <c r="A14" s="13">
        <v>43963</v>
      </c>
      <c r="B14" t="s">
        <v>10</v>
      </c>
      <c r="C14">
        <v>28219.5</v>
      </c>
      <c r="D14">
        <v>2595778.5</v>
      </c>
    </row>
    <row r="15" spans="1:24" x14ac:dyDescent="0.3">
      <c r="A15" s="13">
        <v>43972</v>
      </c>
      <c r="B15" t="s">
        <v>10</v>
      </c>
      <c r="C15">
        <v>31272</v>
      </c>
      <c r="D15">
        <v>2744382</v>
      </c>
    </row>
    <row r="16" spans="1:24" x14ac:dyDescent="0.3">
      <c r="A16" s="13">
        <v>43971</v>
      </c>
      <c r="B16" t="s">
        <v>10</v>
      </c>
      <c r="C16">
        <v>34077</v>
      </c>
      <c r="D16">
        <v>2929330.5</v>
      </c>
    </row>
    <row r="17" spans="1:4" x14ac:dyDescent="0.3">
      <c r="A17" s="13">
        <v>43956</v>
      </c>
      <c r="B17" t="s">
        <v>10</v>
      </c>
      <c r="C17">
        <v>31566</v>
      </c>
      <c r="D17">
        <v>2906763</v>
      </c>
    </row>
    <row r="18" spans="1:4" x14ac:dyDescent="0.3">
      <c r="A18" s="13">
        <v>43949</v>
      </c>
      <c r="B18" t="s">
        <v>10</v>
      </c>
      <c r="C18">
        <v>26940</v>
      </c>
      <c r="D18">
        <v>2411587.5</v>
      </c>
    </row>
    <row r="19" spans="1:4" x14ac:dyDescent="0.3">
      <c r="A19" s="13">
        <v>43964</v>
      </c>
      <c r="B19" t="s">
        <v>10</v>
      </c>
      <c r="C19">
        <v>29241</v>
      </c>
      <c r="D19">
        <v>2629782</v>
      </c>
    </row>
    <row r="20" spans="1:4" x14ac:dyDescent="0.3">
      <c r="A20" s="13">
        <v>43954</v>
      </c>
      <c r="B20" t="s">
        <v>10</v>
      </c>
      <c r="C20">
        <v>26082</v>
      </c>
      <c r="D20">
        <v>2434914</v>
      </c>
    </row>
    <row r="21" spans="1:4" x14ac:dyDescent="0.3">
      <c r="A21" s="13">
        <v>43957</v>
      </c>
      <c r="B21" t="s">
        <v>10</v>
      </c>
      <c r="C21">
        <v>32511</v>
      </c>
      <c r="D21">
        <v>2938623</v>
      </c>
    </row>
    <row r="22" spans="1:4" x14ac:dyDescent="0.3">
      <c r="A22" s="13">
        <v>43974</v>
      </c>
      <c r="B22" t="s">
        <v>10</v>
      </c>
      <c r="C22">
        <v>42703.5</v>
      </c>
      <c r="D22">
        <v>3628726.5</v>
      </c>
    </row>
    <row r="23" spans="1:4" x14ac:dyDescent="0.3">
      <c r="A23" s="13">
        <v>43976</v>
      </c>
      <c r="B23" t="s">
        <v>10</v>
      </c>
      <c r="C23">
        <v>35592</v>
      </c>
      <c r="D23">
        <v>3176580</v>
      </c>
    </row>
    <row r="24" spans="1:4" x14ac:dyDescent="0.3">
      <c r="A24" s="13">
        <v>43951</v>
      </c>
      <c r="B24" t="s">
        <v>10</v>
      </c>
      <c r="C24">
        <v>30445.5</v>
      </c>
      <c r="D24">
        <v>2817196.5</v>
      </c>
    </row>
    <row r="25" spans="1:4" x14ac:dyDescent="0.3">
      <c r="A25" s="13">
        <v>43961</v>
      </c>
      <c r="B25" t="s">
        <v>10</v>
      </c>
      <c r="C25">
        <v>36619.5</v>
      </c>
      <c r="D25">
        <v>3312967.5</v>
      </c>
    </row>
    <row r="26" spans="1:4" x14ac:dyDescent="0.3">
      <c r="A26" s="13">
        <v>43959</v>
      </c>
      <c r="B26" t="s">
        <v>10</v>
      </c>
      <c r="C26">
        <v>29409</v>
      </c>
      <c r="D26">
        <v>2645160</v>
      </c>
    </row>
    <row r="27" spans="1:4" x14ac:dyDescent="0.3">
      <c r="A27" s="13">
        <v>43958</v>
      </c>
      <c r="B27" t="s">
        <v>10</v>
      </c>
      <c r="C27">
        <v>27018</v>
      </c>
      <c r="D27">
        <v>2472213</v>
      </c>
    </row>
    <row r="28" spans="1:4" x14ac:dyDescent="0.3">
      <c r="A28" s="13">
        <v>43975</v>
      </c>
      <c r="B28" t="s">
        <v>10</v>
      </c>
      <c r="C28">
        <v>34303.5</v>
      </c>
      <c r="D28">
        <v>2924746.5</v>
      </c>
    </row>
    <row r="29" spans="1:4" x14ac:dyDescent="0.3">
      <c r="A29" s="13">
        <v>43982</v>
      </c>
      <c r="B29" t="s">
        <v>10</v>
      </c>
      <c r="C29">
        <v>36999</v>
      </c>
      <c r="D29">
        <v>3473895</v>
      </c>
    </row>
    <row r="30" spans="1:4" x14ac:dyDescent="0.3">
      <c r="A30" s="13">
        <v>43981</v>
      </c>
      <c r="B30" t="s">
        <v>10</v>
      </c>
      <c r="C30">
        <v>44001</v>
      </c>
      <c r="D30">
        <v>3921784.5</v>
      </c>
    </row>
    <row r="31" spans="1:4" x14ac:dyDescent="0.3">
      <c r="A31" s="13">
        <v>43979</v>
      </c>
      <c r="B31" t="s">
        <v>10</v>
      </c>
      <c r="C31">
        <v>30982.5</v>
      </c>
      <c r="D31">
        <v>2827773</v>
      </c>
    </row>
    <row r="32" spans="1:4" x14ac:dyDescent="0.3">
      <c r="A32" s="13">
        <v>43967</v>
      </c>
      <c r="B32" t="s">
        <v>11</v>
      </c>
      <c r="C32">
        <v>88063.5</v>
      </c>
      <c r="D32">
        <v>7583758.5</v>
      </c>
    </row>
    <row r="33" spans="1:4" x14ac:dyDescent="0.3">
      <c r="A33" s="13">
        <v>43970</v>
      </c>
      <c r="B33" t="s">
        <v>11</v>
      </c>
      <c r="C33">
        <v>84024</v>
      </c>
      <c r="D33">
        <v>6815511</v>
      </c>
    </row>
    <row r="34" spans="1:4" x14ac:dyDescent="0.3">
      <c r="A34" s="13">
        <v>43968</v>
      </c>
      <c r="B34" t="s">
        <v>11</v>
      </c>
      <c r="C34">
        <v>78057</v>
      </c>
      <c r="D34">
        <v>6774946.5</v>
      </c>
    </row>
    <row r="35" spans="1:4" x14ac:dyDescent="0.3">
      <c r="A35" s="13">
        <v>43960</v>
      </c>
      <c r="B35" t="s">
        <v>11</v>
      </c>
      <c r="C35">
        <v>69720</v>
      </c>
      <c r="D35">
        <v>6264933</v>
      </c>
    </row>
    <row r="36" spans="1:4" x14ac:dyDescent="0.3">
      <c r="A36" s="13">
        <v>43955</v>
      </c>
      <c r="B36" t="s">
        <v>11</v>
      </c>
      <c r="C36">
        <v>72928.5</v>
      </c>
      <c r="D36">
        <v>6642249</v>
      </c>
    </row>
    <row r="37" spans="1:4" x14ac:dyDescent="0.3">
      <c r="A37" s="13">
        <v>43950</v>
      </c>
      <c r="B37" t="s">
        <v>11</v>
      </c>
      <c r="C37">
        <v>79527</v>
      </c>
      <c r="D37">
        <v>7180498.5</v>
      </c>
    </row>
    <row r="38" spans="1:4" x14ac:dyDescent="0.3">
      <c r="A38" s="13">
        <v>43953</v>
      </c>
      <c r="B38" t="s">
        <v>11</v>
      </c>
      <c r="C38">
        <v>60463.5</v>
      </c>
      <c r="D38">
        <v>5554192.5</v>
      </c>
    </row>
    <row r="39" spans="1:4" x14ac:dyDescent="0.3">
      <c r="A39" s="13">
        <v>43977</v>
      </c>
      <c r="B39" t="s">
        <v>11</v>
      </c>
      <c r="C39">
        <v>79975.5</v>
      </c>
      <c r="D39">
        <v>6676459.5</v>
      </c>
    </row>
    <row r="40" spans="1:4" x14ac:dyDescent="0.3">
      <c r="A40" s="13">
        <v>43952</v>
      </c>
      <c r="B40" t="s">
        <v>11</v>
      </c>
      <c r="C40">
        <v>97534.5</v>
      </c>
      <c r="D40">
        <v>8893024.5</v>
      </c>
    </row>
    <row r="41" spans="1:4" x14ac:dyDescent="0.3">
      <c r="A41" s="13">
        <v>43963</v>
      </c>
      <c r="B41" t="s">
        <v>11</v>
      </c>
      <c r="C41">
        <v>71520</v>
      </c>
      <c r="D41">
        <v>6398361</v>
      </c>
    </row>
    <row r="42" spans="1:4" x14ac:dyDescent="0.3">
      <c r="A42" s="13">
        <v>43972</v>
      </c>
      <c r="B42" t="s">
        <v>11</v>
      </c>
      <c r="C42">
        <v>79485</v>
      </c>
      <c r="D42">
        <v>6633847.5</v>
      </c>
    </row>
    <row r="43" spans="1:4" x14ac:dyDescent="0.3">
      <c r="A43" s="13">
        <v>43971</v>
      </c>
      <c r="B43" t="s">
        <v>11</v>
      </c>
      <c r="C43">
        <v>93313.5</v>
      </c>
      <c r="D43">
        <v>7247575.5</v>
      </c>
    </row>
    <row r="44" spans="1:4" x14ac:dyDescent="0.3">
      <c r="A44" s="13">
        <v>43956</v>
      </c>
      <c r="B44" t="s">
        <v>11</v>
      </c>
      <c r="C44">
        <v>76585.5</v>
      </c>
      <c r="D44">
        <v>6921316.5</v>
      </c>
    </row>
    <row r="45" spans="1:4" x14ac:dyDescent="0.3">
      <c r="A45" s="13">
        <v>43949</v>
      </c>
      <c r="B45" t="s">
        <v>11</v>
      </c>
      <c r="C45">
        <v>81826.5</v>
      </c>
      <c r="D45">
        <v>7163644.5</v>
      </c>
    </row>
    <row r="46" spans="1:4" x14ac:dyDescent="0.3">
      <c r="A46" s="13">
        <v>43964</v>
      </c>
      <c r="B46" t="s">
        <v>11</v>
      </c>
      <c r="C46">
        <v>78846</v>
      </c>
      <c r="D46">
        <v>6993952.5</v>
      </c>
    </row>
    <row r="47" spans="1:4" x14ac:dyDescent="0.3">
      <c r="A47" s="13">
        <v>43954</v>
      </c>
      <c r="B47" t="s">
        <v>11</v>
      </c>
      <c r="C47">
        <v>77263.5</v>
      </c>
      <c r="D47">
        <v>7013670</v>
      </c>
    </row>
    <row r="48" spans="1:4" x14ac:dyDescent="0.3">
      <c r="A48" s="13">
        <v>43957</v>
      </c>
      <c r="B48" t="s">
        <v>11</v>
      </c>
      <c r="C48">
        <v>68994</v>
      </c>
      <c r="D48">
        <v>6168657</v>
      </c>
    </row>
    <row r="49" spans="1:4" x14ac:dyDescent="0.3">
      <c r="A49" s="13">
        <v>43974</v>
      </c>
      <c r="B49" t="s">
        <v>11</v>
      </c>
      <c r="C49">
        <v>102889.5</v>
      </c>
      <c r="D49">
        <v>8089143</v>
      </c>
    </row>
    <row r="50" spans="1:4" x14ac:dyDescent="0.3">
      <c r="A50" s="13">
        <v>43976</v>
      </c>
      <c r="B50" t="s">
        <v>11</v>
      </c>
      <c r="C50">
        <v>76999.5</v>
      </c>
      <c r="D50">
        <v>6645603</v>
      </c>
    </row>
    <row r="51" spans="1:4" x14ac:dyDescent="0.3">
      <c r="A51" s="13">
        <v>43951</v>
      </c>
      <c r="B51" t="s">
        <v>11</v>
      </c>
      <c r="C51">
        <v>77565</v>
      </c>
      <c r="D51">
        <v>7023727.5</v>
      </c>
    </row>
    <row r="52" spans="1:4" x14ac:dyDescent="0.3">
      <c r="A52" s="13">
        <v>43961</v>
      </c>
      <c r="B52" t="s">
        <v>11</v>
      </c>
      <c r="C52">
        <v>84132</v>
      </c>
      <c r="D52">
        <v>7483194</v>
      </c>
    </row>
    <row r="53" spans="1:4" x14ac:dyDescent="0.3">
      <c r="A53" s="13">
        <v>43959</v>
      </c>
      <c r="B53" t="s">
        <v>11</v>
      </c>
      <c r="C53">
        <v>69544.5</v>
      </c>
      <c r="D53">
        <v>6293776.5</v>
      </c>
    </row>
    <row r="54" spans="1:4" x14ac:dyDescent="0.3">
      <c r="A54" s="13">
        <v>43958</v>
      </c>
      <c r="B54" t="s">
        <v>11</v>
      </c>
      <c r="C54">
        <v>73204.5</v>
      </c>
      <c r="D54">
        <v>6591883.5</v>
      </c>
    </row>
    <row r="55" spans="1:4" x14ac:dyDescent="0.3">
      <c r="A55" s="13">
        <v>43975</v>
      </c>
      <c r="B55" t="s">
        <v>11</v>
      </c>
      <c r="C55">
        <v>76663.5</v>
      </c>
      <c r="D55">
        <v>6451032</v>
      </c>
    </row>
    <row r="56" spans="1:4" x14ac:dyDescent="0.3">
      <c r="A56" s="13">
        <v>43967</v>
      </c>
      <c r="B56" t="s">
        <v>12</v>
      </c>
      <c r="C56">
        <v>14265</v>
      </c>
      <c r="D56">
        <v>1130506.5</v>
      </c>
    </row>
    <row r="57" spans="1:4" x14ac:dyDescent="0.3">
      <c r="A57" s="13">
        <v>43970</v>
      </c>
      <c r="B57" t="s">
        <v>12</v>
      </c>
      <c r="C57">
        <v>11526</v>
      </c>
      <c r="D57">
        <v>938764.5</v>
      </c>
    </row>
    <row r="58" spans="1:4" x14ac:dyDescent="0.3">
      <c r="A58" s="13">
        <v>43968</v>
      </c>
      <c r="B58" t="s">
        <v>12</v>
      </c>
      <c r="C58">
        <v>10402.5</v>
      </c>
      <c r="D58">
        <v>843727.5</v>
      </c>
    </row>
    <row r="59" spans="1:4" x14ac:dyDescent="0.3">
      <c r="A59" s="13">
        <v>43960</v>
      </c>
      <c r="B59" t="s">
        <v>12</v>
      </c>
      <c r="C59">
        <v>13216.5</v>
      </c>
      <c r="D59">
        <v>1046400</v>
      </c>
    </row>
    <row r="60" spans="1:4" x14ac:dyDescent="0.3">
      <c r="A60" s="13">
        <v>43955</v>
      </c>
      <c r="B60" t="s">
        <v>12</v>
      </c>
      <c r="C60">
        <v>9130.5</v>
      </c>
      <c r="D60">
        <v>728890.5</v>
      </c>
    </row>
    <row r="61" spans="1:4" x14ac:dyDescent="0.3">
      <c r="A61" s="13">
        <v>43950</v>
      </c>
      <c r="B61" t="s">
        <v>12</v>
      </c>
      <c r="C61">
        <v>10840.5</v>
      </c>
      <c r="D61">
        <v>797919</v>
      </c>
    </row>
    <row r="62" spans="1:4" x14ac:dyDescent="0.3">
      <c r="A62" s="13">
        <v>43953</v>
      </c>
      <c r="B62" t="s">
        <v>12</v>
      </c>
      <c r="C62">
        <v>7866</v>
      </c>
      <c r="D62">
        <v>617881.5</v>
      </c>
    </row>
    <row r="63" spans="1:4" x14ac:dyDescent="0.3">
      <c r="A63" s="13">
        <v>43977</v>
      </c>
      <c r="B63" t="s">
        <v>12</v>
      </c>
      <c r="C63">
        <v>11835</v>
      </c>
      <c r="D63">
        <v>983109</v>
      </c>
    </row>
    <row r="64" spans="1:4" x14ac:dyDescent="0.3">
      <c r="A64" s="13">
        <v>43952</v>
      </c>
      <c r="B64" t="s">
        <v>12</v>
      </c>
      <c r="C64">
        <v>11619</v>
      </c>
      <c r="D64">
        <v>891139.5</v>
      </c>
    </row>
    <row r="65" spans="1:4" x14ac:dyDescent="0.3">
      <c r="A65" s="13">
        <v>43963</v>
      </c>
      <c r="B65" t="s">
        <v>12</v>
      </c>
      <c r="C65">
        <v>9328.5</v>
      </c>
      <c r="D65">
        <v>732964.5</v>
      </c>
    </row>
    <row r="66" spans="1:4" x14ac:dyDescent="0.3">
      <c r="A66" s="13">
        <v>43972</v>
      </c>
      <c r="B66" t="s">
        <v>12</v>
      </c>
      <c r="C66">
        <v>11250</v>
      </c>
      <c r="D66">
        <v>935523</v>
      </c>
    </row>
    <row r="67" spans="1:4" x14ac:dyDescent="0.3">
      <c r="A67" s="13">
        <v>43971</v>
      </c>
      <c r="B67" t="s">
        <v>12</v>
      </c>
      <c r="C67">
        <v>13063.5</v>
      </c>
      <c r="D67">
        <v>1037247</v>
      </c>
    </row>
    <row r="68" spans="1:4" x14ac:dyDescent="0.3">
      <c r="A68" s="13">
        <v>43956</v>
      </c>
      <c r="B68" t="s">
        <v>12</v>
      </c>
      <c r="C68">
        <v>10147.5</v>
      </c>
      <c r="D68">
        <v>793320</v>
      </c>
    </row>
    <row r="69" spans="1:4" x14ac:dyDescent="0.3">
      <c r="A69" s="13">
        <v>43949</v>
      </c>
      <c r="B69" t="s">
        <v>12</v>
      </c>
      <c r="C69">
        <v>12331.5</v>
      </c>
      <c r="D69">
        <v>869983.5</v>
      </c>
    </row>
    <row r="70" spans="1:4" x14ac:dyDescent="0.3">
      <c r="A70" s="13">
        <v>43964</v>
      </c>
      <c r="B70" t="s">
        <v>12</v>
      </c>
      <c r="C70">
        <v>11202</v>
      </c>
      <c r="D70">
        <v>865714.5</v>
      </c>
    </row>
    <row r="71" spans="1:4" x14ac:dyDescent="0.3">
      <c r="A71" s="13">
        <v>43982</v>
      </c>
      <c r="B71" t="s">
        <v>11</v>
      </c>
      <c r="C71">
        <v>89149.5</v>
      </c>
      <c r="D71">
        <v>7512646.5</v>
      </c>
    </row>
    <row r="72" spans="1:4" x14ac:dyDescent="0.3">
      <c r="A72" s="13">
        <v>43954</v>
      </c>
      <c r="B72" t="s">
        <v>12</v>
      </c>
      <c r="C72">
        <v>8185.5</v>
      </c>
      <c r="D72">
        <v>637881</v>
      </c>
    </row>
    <row r="73" spans="1:4" x14ac:dyDescent="0.3">
      <c r="A73" s="13">
        <v>43981</v>
      </c>
      <c r="B73" t="s">
        <v>11</v>
      </c>
      <c r="C73">
        <v>108123</v>
      </c>
      <c r="D73">
        <v>9164707.5</v>
      </c>
    </row>
    <row r="74" spans="1:4" x14ac:dyDescent="0.3">
      <c r="A74" s="13">
        <v>43957</v>
      </c>
      <c r="B74" t="s">
        <v>12</v>
      </c>
      <c r="C74">
        <v>9210</v>
      </c>
      <c r="D74">
        <v>696832.5</v>
      </c>
    </row>
    <row r="75" spans="1:4" x14ac:dyDescent="0.3">
      <c r="A75" s="13">
        <v>43974</v>
      </c>
      <c r="B75" t="s">
        <v>12</v>
      </c>
      <c r="C75">
        <v>14773.5</v>
      </c>
      <c r="D75">
        <v>1241383.5</v>
      </c>
    </row>
    <row r="76" spans="1:4" x14ac:dyDescent="0.3">
      <c r="A76" s="13">
        <v>43979</v>
      </c>
      <c r="B76" t="s">
        <v>11</v>
      </c>
      <c r="C76">
        <v>78141</v>
      </c>
      <c r="D76">
        <v>6641569.5</v>
      </c>
    </row>
    <row r="77" spans="1:4" x14ac:dyDescent="0.3">
      <c r="A77" s="13">
        <v>43976</v>
      </c>
      <c r="B77" t="s">
        <v>12</v>
      </c>
      <c r="C77">
        <v>12280.5</v>
      </c>
      <c r="D77">
        <v>1030440</v>
      </c>
    </row>
    <row r="78" spans="1:4" x14ac:dyDescent="0.3">
      <c r="A78" s="13">
        <v>43951</v>
      </c>
      <c r="B78" t="s">
        <v>12</v>
      </c>
      <c r="C78">
        <v>8934</v>
      </c>
      <c r="D78">
        <v>716196</v>
      </c>
    </row>
    <row r="79" spans="1:4" x14ac:dyDescent="0.3">
      <c r="A79" s="13">
        <v>43961</v>
      </c>
      <c r="B79" t="s">
        <v>12</v>
      </c>
      <c r="C79">
        <v>12918</v>
      </c>
      <c r="D79">
        <v>1004788.5</v>
      </c>
    </row>
    <row r="80" spans="1:4" x14ac:dyDescent="0.3">
      <c r="A80" s="13">
        <v>43959</v>
      </c>
      <c r="B80" t="s">
        <v>12</v>
      </c>
      <c r="C80">
        <v>12528</v>
      </c>
      <c r="D80">
        <v>959703</v>
      </c>
    </row>
    <row r="81" spans="1:4" x14ac:dyDescent="0.3">
      <c r="A81" s="13">
        <v>43958</v>
      </c>
      <c r="B81" t="s">
        <v>12</v>
      </c>
      <c r="C81">
        <v>11029.5</v>
      </c>
      <c r="D81">
        <v>863754</v>
      </c>
    </row>
    <row r="82" spans="1:4" x14ac:dyDescent="0.3">
      <c r="A82" s="13">
        <v>43975</v>
      </c>
      <c r="B82" t="s">
        <v>12</v>
      </c>
      <c r="C82">
        <v>9994.5</v>
      </c>
      <c r="D82">
        <v>828984</v>
      </c>
    </row>
    <row r="83" spans="1:4" x14ac:dyDescent="0.3">
      <c r="A83" s="13">
        <v>43982</v>
      </c>
      <c r="B83" t="s">
        <v>12</v>
      </c>
      <c r="C83">
        <v>12724.5</v>
      </c>
      <c r="D83">
        <v>1045515</v>
      </c>
    </row>
    <row r="84" spans="1:4" x14ac:dyDescent="0.3">
      <c r="A84" s="13">
        <v>43981</v>
      </c>
      <c r="B84" t="s">
        <v>12</v>
      </c>
      <c r="C84">
        <v>14728.5</v>
      </c>
      <c r="D84">
        <v>1260483</v>
      </c>
    </row>
    <row r="85" spans="1:4" x14ac:dyDescent="0.3">
      <c r="A85" s="13">
        <v>43979</v>
      </c>
      <c r="B85" t="s">
        <v>12</v>
      </c>
      <c r="C85">
        <v>13038</v>
      </c>
      <c r="D85">
        <v>1114552.5</v>
      </c>
    </row>
    <row r="86" spans="1:4" x14ac:dyDescent="0.3">
      <c r="A86" s="13">
        <v>43967</v>
      </c>
      <c r="B86" t="s">
        <v>13</v>
      </c>
      <c r="C86">
        <v>35482.5</v>
      </c>
      <c r="D86">
        <v>3222517.5</v>
      </c>
    </row>
    <row r="87" spans="1:4" x14ac:dyDescent="0.3">
      <c r="A87" s="13">
        <v>43970</v>
      </c>
      <c r="B87" t="s">
        <v>13</v>
      </c>
      <c r="C87">
        <v>32434.5</v>
      </c>
      <c r="D87">
        <v>2865337.5</v>
      </c>
    </row>
    <row r="88" spans="1:4" x14ac:dyDescent="0.3">
      <c r="A88" s="13">
        <v>43968</v>
      </c>
      <c r="B88" t="s">
        <v>13</v>
      </c>
      <c r="C88">
        <v>30486</v>
      </c>
      <c r="D88">
        <v>2694289.5</v>
      </c>
    </row>
    <row r="89" spans="1:4" x14ac:dyDescent="0.3">
      <c r="A89" s="13">
        <v>43960</v>
      </c>
      <c r="B89" t="s">
        <v>13</v>
      </c>
      <c r="C89">
        <v>32079</v>
      </c>
      <c r="D89">
        <v>2902167</v>
      </c>
    </row>
    <row r="90" spans="1:4" x14ac:dyDescent="0.3">
      <c r="A90" s="13">
        <v>43955</v>
      </c>
      <c r="B90" t="s">
        <v>13</v>
      </c>
      <c r="C90">
        <v>27072</v>
      </c>
      <c r="D90">
        <v>2450968.5</v>
      </c>
    </row>
    <row r="91" spans="1:4" x14ac:dyDescent="0.3">
      <c r="A91" s="13">
        <v>43950</v>
      </c>
      <c r="B91" t="s">
        <v>13</v>
      </c>
      <c r="C91">
        <v>25917</v>
      </c>
      <c r="D91">
        <v>2397588</v>
      </c>
    </row>
    <row r="92" spans="1:4" x14ac:dyDescent="0.3">
      <c r="A92" s="13">
        <v>43953</v>
      </c>
      <c r="B92" t="s">
        <v>13</v>
      </c>
      <c r="C92">
        <v>19461</v>
      </c>
      <c r="D92">
        <v>1799230.5</v>
      </c>
    </row>
    <row r="93" spans="1:4" x14ac:dyDescent="0.3">
      <c r="A93" s="13">
        <v>43977</v>
      </c>
      <c r="B93" t="s">
        <v>13</v>
      </c>
      <c r="C93">
        <v>31407</v>
      </c>
      <c r="D93">
        <v>2907411</v>
      </c>
    </row>
    <row r="94" spans="1:4" x14ac:dyDescent="0.3">
      <c r="A94" s="13">
        <v>43952</v>
      </c>
      <c r="B94" t="s">
        <v>13</v>
      </c>
      <c r="C94">
        <v>25792.5</v>
      </c>
      <c r="D94">
        <v>2374356</v>
      </c>
    </row>
    <row r="95" spans="1:4" x14ac:dyDescent="0.3">
      <c r="A95" s="13">
        <v>43963</v>
      </c>
      <c r="B95" t="s">
        <v>13</v>
      </c>
      <c r="C95">
        <v>26032.5</v>
      </c>
      <c r="D95">
        <v>2370432</v>
      </c>
    </row>
    <row r="96" spans="1:4" x14ac:dyDescent="0.3">
      <c r="A96" s="13">
        <v>43972</v>
      </c>
      <c r="B96" t="s">
        <v>13</v>
      </c>
      <c r="C96">
        <v>31707</v>
      </c>
      <c r="D96">
        <v>2853181.5</v>
      </c>
    </row>
    <row r="97" spans="1:4" x14ac:dyDescent="0.3">
      <c r="A97" s="13">
        <v>43971</v>
      </c>
      <c r="B97" t="s">
        <v>13</v>
      </c>
      <c r="C97">
        <v>29955</v>
      </c>
      <c r="D97">
        <v>2692230</v>
      </c>
    </row>
    <row r="98" spans="1:4" x14ac:dyDescent="0.3">
      <c r="A98" s="13">
        <v>43956</v>
      </c>
      <c r="B98" t="s">
        <v>13</v>
      </c>
      <c r="C98">
        <v>22848</v>
      </c>
      <c r="D98">
        <v>2079900</v>
      </c>
    </row>
    <row r="99" spans="1:4" x14ac:dyDescent="0.3">
      <c r="A99" s="13">
        <v>43949</v>
      </c>
      <c r="B99" t="s">
        <v>13</v>
      </c>
      <c r="C99">
        <v>23314.5</v>
      </c>
      <c r="D99">
        <v>2136817.5</v>
      </c>
    </row>
    <row r="100" spans="1:4" x14ac:dyDescent="0.3">
      <c r="A100" s="13">
        <v>43964</v>
      </c>
      <c r="B100" t="s">
        <v>13</v>
      </c>
      <c r="C100">
        <v>26464.5</v>
      </c>
      <c r="D100">
        <v>2373337.5</v>
      </c>
    </row>
    <row r="101" spans="1:4" x14ac:dyDescent="0.3">
      <c r="A101" s="13">
        <v>43954</v>
      </c>
      <c r="B101" t="s">
        <v>13</v>
      </c>
      <c r="C101">
        <v>23539.5</v>
      </c>
      <c r="D101">
        <v>2170309.5</v>
      </c>
    </row>
    <row r="102" spans="1:4" x14ac:dyDescent="0.3">
      <c r="A102" s="13">
        <v>43957</v>
      </c>
      <c r="B102" t="s">
        <v>13</v>
      </c>
      <c r="C102">
        <v>24678</v>
      </c>
      <c r="D102">
        <v>2232519</v>
      </c>
    </row>
    <row r="103" spans="1:4" x14ac:dyDescent="0.3">
      <c r="A103" s="13">
        <v>43974</v>
      </c>
      <c r="B103" t="s">
        <v>13</v>
      </c>
      <c r="C103">
        <v>38176.5</v>
      </c>
      <c r="D103">
        <v>3385372.5</v>
      </c>
    </row>
    <row r="104" spans="1:4" x14ac:dyDescent="0.3">
      <c r="A104" s="13">
        <v>43976</v>
      </c>
      <c r="B104" t="s">
        <v>13</v>
      </c>
      <c r="C104">
        <v>30603</v>
      </c>
      <c r="D104">
        <v>2865727.5</v>
      </c>
    </row>
    <row r="105" spans="1:4" x14ac:dyDescent="0.3">
      <c r="A105" s="13">
        <v>43951</v>
      </c>
      <c r="B105" t="s">
        <v>13</v>
      </c>
      <c r="C105">
        <v>24211.5</v>
      </c>
      <c r="D105">
        <v>2267664</v>
      </c>
    </row>
    <row r="106" spans="1:4" x14ac:dyDescent="0.3">
      <c r="A106" s="13">
        <v>43961</v>
      </c>
      <c r="B106" t="s">
        <v>13</v>
      </c>
      <c r="C106">
        <v>31399.5</v>
      </c>
      <c r="D106">
        <v>2862298.5</v>
      </c>
    </row>
    <row r="107" spans="1:4" x14ac:dyDescent="0.3">
      <c r="A107" s="13">
        <v>43959</v>
      </c>
      <c r="B107" t="s">
        <v>13</v>
      </c>
      <c r="C107">
        <v>25294.5</v>
      </c>
      <c r="D107">
        <v>2271454.5</v>
      </c>
    </row>
    <row r="108" spans="1:4" x14ac:dyDescent="0.3">
      <c r="A108" s="13">
        <v>43958</v>
      </c>
      <c r="B108" t="s">
        <v>13</v>
      </c>
      <c r="C108">
        <v>25468.5</v>
      </c>
      <c r="D108">
        <v>2350672.5</v>
      </c>
    </row>
    <row r="109" spans="1:4" x14ac:dyDescent="0.3">
      <c r="A109" s="13">
        <v>43975</v>
      </c>
      <c r="B109" t="s">
        <v>13</v>
      </c>
      <c r="C109">
        <v>31854</v>
      </c>
      <c r="D109">
        <v>2915533.5</v>
      </c>
    </row>
    <row r="110" spans="1:4" x14ac:dyDescent="0.3">
      <c r="A110" s="13">
        <v>43982</v>
      </c>
      <c r="B110" t="s">
        <v>13</v>
      </c>
      <c r="C110">
        <v>32359.5</v>
      </c>
      <c r="D110">
        <v>2991999</v>
      </c>
    </row>
    <row r="111" spans="1:4" x14ac:dyDescent="0.3">
      <c r="A111" s="13">
        <v>43981</v>
      </c>
      <c r="B111" t="s">
        <v>13</v>
      </c>
      <c r="C111">
        <v>39867</v>
      </c>
      <c r="D111">
        <v>3654166.5</v>
      </c>
    </row>
    <row r="112" spans="1:4" x14ac:dyDescent="0.3">
      <c r="A112" s="13">
        <v>43979</v>
      </c>
      <c r="B112" t="s">
        <v>13</v>
      </c>
      <c r="C112">
        <v>31974</v>
      </c>
      <c r="D112">
        <v>3004213.5</v>
      </c>
    </row>
    <row r="113" spans="1:4" x14ac:dyDescent="0.3">
      <c r="A113" s="13">
        <v>43967</v>
      </c>
      <c r="B113" t="s">
        <v>14</v>
      </c>
      <c r="C113">
        <v>321412.5</v>
      </c>
      <c r="D113">
        <v>32235864</v>
      </c>
    </row>
    <row r="114" spans="1:4" x14ac:dyDescent="0.3">
      <c r="A114" s="13">
        <v>43970</v>
      </c>
      <c r="B114" t="s">
        <v>14</v>
      </c>
      <c r="C114">
        <v>276568.5</v>
      </c>
      <c r="D114">
        <v>27093624</v>
      </c>
    </row>
    <row r="115" spans="1:4" x14ac:dyDescent="0.3">
      <c r="A115" s="13">
        <v>43968</v>
      </c>
      <c r="B115" t="s">
        <v>14</v>
      </c>
      <c r="C115">
        <v>269029.5</v>
      </c>
      <c r="D115">
        <v>26659930.5</v>
      </c>
    </row>
    <row r="116" spans="1:4" x14ac:dyDescent="0.3">
      <c r="A116" s="13">
        <v>43960</v>
      </c>
      <c r="B116" t="s">
        <v>14</v>
      </c>
      <c r="C116">
        <v>285972</v>
      </c>
      <c r="D116">
        <v>29768199</v>
      </c>
    </row>
    <row r="117" spans="1:4" x14ac:dyDescent="0.3">
      <c r="A117" s="13">
        <v>43955</v>
      </c>
      <c r="B117" t="s">
        <v>14</v>
      </c>
      <c r="C117">
        <v>283942.5</v>
      </c>
      <c r="D117">
        <v>29357940</v>
      </c>
    </row>
    <row r="118" spans="1:4" x14ac:dyDescent="0.3">
      <c r="A118" s="13">
        <v>43950</v>
      </c>
      <c r="B118" t="s">
        <v>14</v>
      </c>
      <c r="C118">
        <v>298059</v>
      </c>
      <c r="D118">
        <v>30869287.5</v>
      </c>
    </row>
    <row r="119" spans="1:4" x14ac:dyDescent="0.3">
      <c r="A119" s="13">
        <v>43953</v>
      </c>
      <c r="B119" t="s">
        <v>14</v>
      </c>
      <c r="C119">
        <v>232903.5</v>
      </c>
      <c r="D119">
        <v>24342016.5</v>
      </c>
    </row>
    <row r="120" spans="1:4" x14ac:dyDescent="0.3">
      <c r="A120" s="13">
        <v>43977</v>
      </c>
      <c r="B120" t="s">
        <v>14</v>
      </c>
      <c r="C120">
        <v>276966</v>
      </c>
      <c r="D120">
        <v>27872617.898850001</v>
      </c>
    </row>
    <row r="121" spans="1:4" x14ac:dyDescent="0.3">
      <c r="A121" s="13">
        <v>43952</v>
      </c>
      <c r="B121" t="s">
        <v>14</v>
      </c>
      <c r="C121">
        <v>296149.5</v>
      </c>
      <c r="D121">
        <v>31053316.5</v>
      </c>
    </row>
    <row r="122" spans="1:4" x14ac:dyDescent="0.3">
      <c r="A122" s="13">
        <v>43963</v>
      </c>
      <c r="B122" t="s">
        <v>14</v>
      </c>
      <c r="C122">
        <v>281796</v>
      </c>
      <c r="D122">
        <v>29042520</v>
      </c>
    </row>
    <row r="123" spans="1:4" x14ac:dyDescent="0.3">
      <c r="A123" s="13">
        <v>43972</v>
      </c>
      <c r="B123" t="s">
        <v>14</v>
      </c>
      <c r="C123">
        <v>288936</v>
      </c>
      <c r="D123">
        <v>27852900</v>
      </c>
    </row>
    <row r="124" spans="1:4" x14ac:dyDescent="0.3">
      <c r="A124" s="13">
        <v>43971</v>
      </c>
      <c r="B124" t="s">
        <v>14</v>
      </c>
      <c r="C124">
        <v>300151.5</v>
      </c>
      <c r="D124">
        <v>29368771.617449999</v>
      </c>
    </row>
    <row r="125" spans="1:4" x14ac:dyDescent="0.3">
      <c r="A125" s="13">
        <v>43956</v>
      </c>
      <c r="B125" t="s">
        <v>14</v>
      </c>
      <c r="C125">
        <v>262734</v>
      </c>
      <c r="D125">
        <v>27278441.145</v>
      </c>
    </row>
    <row r="126" spans="1:4" x14ac:dyDescent="0.3">
      <c r="A126" s="13">
        <v>43949</v>
      </c>
      <c r="B126" t="s">
        <v>14</v>
      </c>
      <c r="C126">
        <v>286002</v>
      </c>
      <c r="D126">
        <v>29159032.5</v>
      </c>
    </row>
    <row r="127" spans="1:4" x14ac:dyDescent="0.3">
      <c r="A127" s="13">
        <v>43964</v>
      </c>
      <c r="B127" t="s">
        <v>14</v>
      </c>
      <c r="C127">
        <v>258459</v>
      </c>
      <c r="D127">
        <v>26467453.5</v>
      </c>
    </row>
    <row r="128" spans="1:4" x14ac:dyDescent="0.3">
      <c r="A128" s="13">
        <v>43954</v>
      </c>
      <c r="B128" t="s">
        <v>14</v>
      </c>
      <c r="C128">
        <v>274083</v>
      </c>
      <c r="D128">
        <v>28427001</v>
      </c>
    </row>
    <row r="129" spans="1:4" x14ac:dyDescent="0.3">
      <c r="A129" s="13">
        <v>43957</v>
      </c>
      <c r="B129" t="s">
        <v>14</v>
      </c>
      <c r="C129">
        <v>277512</v>
      </c>
      <c r="D129">
        <v>28770810.105599999</v>
      </c>
    </row>
    <row r="130" spans="1:4" x14ac:dyDescent="0.3">
      <c r="A130" s="13">
        <v>43974</v>
      </c>
      <c r="B130" t="s">
        <v>14</v>
      </c>
      <c r="C130">
        <v>356982</v>
      </c>
      <c r="D130">
        <v>35103926.711549997</v>
      </c>
    </row>
    <row r="131" spans="1:4" x14ac:dyDescent="0.3">
      <c r="A131" s="13">
        <v>43976</v>
      </c>
      <c r="B131" t="s">
        <v>14</v>
      </c>
      <c r="C131">
        <v>266983.5</v>
      </c>
      <c r="D131">
        <v>27165913.5</v>
      </c>
    </row>
    <row r="132" spans="1:4" x14ac:dyDescent="0.3">
      <c r="A132" s="13">
        <v>43951</v>
      </c>
      <c r="B132" t="s">
        <v>14</v>
      </c>
      <c r="C132">
        <v>311131.5</v>
      </c>
      <c r="D132">
        <v>32418879</v>
      </c>
    </row>
    <row r="133" spans="1:4" x14ac:dyDescent="0.3">
      <c r="A133" s="13">
        <v>43961</v>
      </c>
      <c r="B133" t="s">
        <v>14</v>
      </c>
      <c r="C133">
        <v>287206.5</v>
      </c>
      <c r="D133">
        <v>29536176.10605</v>
      </c>
    </row>
    <row r="134" spans="1:4" x14ac:dyDescent="0.3">
      <c r="A134" s="13">
        <v>43959</v>
      </c>
      <c r="B134" t="s">
        <v>14</v>
      </c>
      <c r="C134">
        <v>370092</v>
      </c>
      <c r="D134">
        <v>38091556.5</v>
      </c>
    </row>
    <row r="135" spans="1:4" x14ac:dyDescent="0.3">
      <c r="A135" s="13">
        <v>43958</v>
      </c>
      <c r="B135" t="s">
        <v>14</v>
      </c>
      <c r="C135">
        <v>247813.5</v>
      </c>
      <c r="D135">
        <v>25325271</v>
      </c>
    </row>
    <row r="136" spans="1:4" x14ac:dyDescent="0.3">
      <c r="A136" s="13">
        <v>43975</v>
      </c>
      <c r="B136" t="s">
        <v>14</v>
      </c>
      <c r="C136">
        <v>287740.5</v>
      </c>
      <c r="D136">
        <v>28188534</v>
      </c>
    </row>
    <row r="137" spans="1:4" x14ac:dyDescent="0.3">
      <c r="A137" s="13">
        <v>43967</v>
      </c>
      <c r="B137" t="s">
        <v>15</v>
      </c>
      <c r="C137">
        <v>408810</v>
      </c>
      <c r="D137">
        <v>42323631</v>
      </c>
    </row>
    <row r="138" spans="1:4" x14ac:dyDescent="0.3">
      <c r="A138" s="13">
        <v>43970</v>
      </c>
      <c r="B138" t="s">
        <v>15</v>
      </c>
      <c r="C138">
        <v>362536.5</v>
      </c>
      <c r="D138">
        <v>37023243</v>
      </c>
    </row>
    <row r="139" spans="1:4" x14ac:dyDescent="0.3">
      <c r="A139" s="13">
        <v>43968</v>
      </c>
      <c r="B139" t="s">
        <v>15</v>
      </c>
      <c r="C139">
        <v>357072</v>
      </c>
      <c r="D139">
        <v>36834567</v>
      </c>
    </row>
    <row r="140" spans="1:4" x14ac:dyDescent="0.3">
      <c r="A140" s="13">
        <v>43960</v>
      </c>
      <c r="B140" t="s">
        <v>15</v>
      </c>
      <c r="C140">
        <v>359214</v>
      </c>
      <c r="D140">
        <v>38693427</v>
      </c>
    </row>
    <row r="141" spans="1:4" x14ac:dyDescent="0.3">
      <c r="A141" s="13">
        <v>43955</v>
      </c>
      <c r="B141" t="s">
        <v>15</v>
      </c>
      <c r="C141">
        <v>360255</v>
      </c>
      <c r="D141">
        <v>38406954</v>
      </c>
    </row>
    <row r="142" spans="1:4" x14ac:dyDescent="0.3">
      <c r="A142" s="13">
        <v>43950</v>
      </c>
      <c r="B142" t="s">
        <v>15</v>
      </c>
      <c r="C142">
        <v>387220.5</v>
      </c>
      <c r="D142">
        <v>41559384</v>
      </c>
    </row>
    <row r="143" spans="1:4" x14ac:dyDescent="0.3">
      <c r="A143" s="13">
        <v>43953</v>
      </c>
      <c r="B143" t="s">
        <v>15</v>
      </c>
      <c r="C143">
        <v>296580</v>
      </c>
      <c r="D143">
        <v>31843737</v>
      </c>
    </row>
    <row r="144" spans="1:4" x14ac:dyDescent="0.3">
      <c r="A144" s="13">
        <v>43977</v>
      </c>
      <c r="B144" t="s">
        <v>15</v>
      </c>
      <c r="C144">
        <v>369861</v>
      </c>
      <c r="D144">
        <v>38365960.5</v>
      </c>
    </row>
    <row r="145" spans="1:4" x14ac:dyDescent="0.3">
      <c r="A145" s="13">
        <v>43952</v>
      </c>
      <c r="B145" t="s">
        <v>15</v>
      </c>
      <c r="C145">
        <v>372504</v>
      </c>
      <c r="D145">
        <v>40077193.5</v>
      </c>
    </row>
    <row r="146" spans="1:4" x14ac:dyDescent="0.3">
      <c r="A146" s="13">
        <v>43963</v>
      </c>
      <c r="B146" t="s">
        <v>15</v>
      </c>
      <c r="C146">
        <v>373392</v>
      </c>
      <c r="D146">
        <v>39578577</v>
      </c>
    </row>
    <row r="147" spans="1:4" x14ac:dyDescent="0.3">
      <c r="A147" s="13">
        <v>43972</v>
      </c>
      <c r="B147" t="s">
        <v>15</v>
      </c>
      <c r="C147">
        <v>378043.5</v>
      </c>
      <c r="D147">
        <v>37902156.57</v>
      </c>
    </row>
    <row r="148" spans="1:4" x14ac:dyDescent="0.3">
      <c r="A148" s="13">
        <v>43971</v>
      </c>
      <c r="B148" t="s">
        <v>15</v>
      </c>
      <c r="C148">
        <v>388668</v>
      </c>
      <c r="D148">
        <v>39639309</v>
      </c>
    </row>
    <row r="149" spans="1:4" x14ac:dyDescent="0.3">
      <c r="A149" s="13">
        <v>43956</v>
      </c>
      <c r="B149" t="s">
        <v>15</v>
      </c>
      <c r="C149">
        <v>333792</v>
      </c>
      <c r="D149">
        <v>35671734</v>
      </c>
    </row>
    <row r="150" spans="1:4" x14ac:dyDescent="0.3">
      <c r="A150" s="13">
        <v>43949</v>
      </c>
      <c r="B150" t="s">
        <v>15</v>
      </c>
      <c r="C150">
        <v>376060.5</v>
      </c>
      <c r="D150">
        <v>39918028.5</v>
      </c>
    </row>
    <row r="151" spans="1:4" x14ac:dyDescent="0.3">
      <c r="A151" s="13">
        <v>43964</v>
      </c>
      <c r="B151" t="s">
        <v>15</v>
      </c>
      <c r="C151">
        <v>350068.5</v>
      </c>
      <c r="D151">
        <v>37197115.5</v>
      </c>
    </row>
    <row r="152" spans="1:4" x14ac:dyDescent="0.3">
      <c r="A152" s="13">
        <v>43982</v>
      </c>
      <c r="B152" t="s">
        <v>14</v>
      </c>
      <c r="C152">
        <v>294337.5</v>
      </c>
      <c r="D152">
        <v>29327766</v>
      </c>
    </row>
    <row r="153" spans="1:4" x14ac:dyDescent="0.3">
      <c r="A153" s="13">
        <v>43954</v>
      </c>
      <c r="B153" t="s">
        <v>15</v>
      </c>
      <c r="C153">
        <v>342666</v>
      </c>
      <c r="D153">
        <v>36631999.5</v>
      </c>
    </row>
    <row r="154" spans="1:4" x14ac:dyDescent="0.3">
      <c r="A154" s="13">
        <v>43981</v>
      </c>
      <c r="B154" t="s">
        <v>14</v>
      </c>
      <c r="C154">
        <v>364882.5</v>
      </c>
      <c r="D154">
        <v>35724493.5</v>
      </c>
    </row>
    <row r="155" spans="1:4" x14ac:dyDescent="0.3">
      <c r="A155" s="13">
        <v>43957</v>
      </c>
      <c r="B155" t="s">
        <v>15</v>
      </c>
      <c r="C155">
        <v>355278</v>
      </c>
      <c r="D155">
        <v>38092344</v>
      </c>
    </row>
    <row r="156" spans="1:4" x14ac:dyDescent="0.3">
      <c r="A156" s="13">
        <v>43974</v>
      </c>
      <c r="B156" t="s">
        <v>15</v>
      </c>
      <c r="C156">
        <v>456885</v>
      </c>
      <c r="D156">
        <v>46408080</v>
      </c>
    </row>
    <row r="157" spans="1:4" x14ac:dyDescent="0.3">
      <c r="A157" s="13">
        <v>43979</v>
      </c>
      <c r="B157" t="s">
        <v>14</v>
      </c>
      <c r="C157">
        <v>278491.5</v>
      </c>
      <c r="D157">
        <v>28151004.75</v>
      </c>
    </row>
    <row r="158" spans="1:4" x14ac:dyDescent="0.3">
      <c r="A158" s="13">
        <v>43976</v>
      </c>
      <c r="B158" t="s">
        <v>15</v>
      </c>
      <c r="C158">
        <v>349734</v>
      </c>
      <c r="D158">
        <v>36883428</v>
      </c>
    </row>
    <row r="159" spans="1:4" x14ac:dyDescent="0.3">
      <c r="A159" s="13">
        <v>43951</v>
      </c>
      <c r="B159" t="s">
        <v>15</v>
      </c>
      <c r="C159">
        <v>401580</v>
      </c>
      <c r="D159">
        <v>43028734.5</v>
      </c>
    </row>
    <row r="160" spans="1:4" x14ac:dyDescent="0.3">
      <c r="A160" s="13">
        <v>43961</v>
      </c>
      <c r="B160" t="s">
        <v>15</v>
      </c>
      <c r="C160">
        <v>368649</v>
      </c>
      <c r="D160">
        <v>39010875</v>
      </c>
    </row>
    <row r="161" spans="1:4" x14ac:dyDescent="0.3">
      <c r="A161" s="13">
        <v>43959</v>
      </c>
      <c r="B161" t="s">
        <v>15</v>
      </c>
      <c r="C161">
        <v>463530</v>
      </c>
      <c r="D161">
        <v>49123180.5</v>
      </c>
    </row>
    <row r="162" spans="1:4" x14ac:dyDescent="0.3">
      <c r="A162" s="13">
        <v>43958</v>
      </c>
      <c r="B162" t="s">
        <v>15</v>
      </c>
      <c r="C162">
        <v>319110</v>
      </c>
      <c r="D162">
        <v>33763989</v>
      </c>
    </row>
    <row r="163" spans="1:4" x14ac:dyDescent="0.3">
      <c r="A163" s="13">
        <v>43975</v>
      </c>
      <c r="B163" t="s">
        <v>15</v>
      </c>
      <c r="C163">
        <v>375744</v>
      </c>
      <c r="D163">
        <v>38191381.5</v>
      </c>
    </row>
    <row r="164" spans="1:4" x14ac:dyDescent="0.3">
      <c r="A164" s="13">
        <v>43967</v>
      </c>
      <c r="B164" t="s">
        <v>16</v>
      </c>
      <c r="C164">
        <v>81331.5</v>
      </c>
      <c r="D164">
        <v>6652179</v>
      </c>
    </row>
    <row r="165" spans="1:4" x14ac:dyDescent="0.3">
      <c r="A165" s="13">
        <v>43970</v>
      </c>
      <c r="B165" t="s">
        <v>16</v>
      </c>
      <c r="C165">
        <v>75796.5</v>
      </c>
      <c r="D165">
        <v>6173463</v>
      </c>
    </row>
    <row r="166" spans="1:4" x14ac:dyDescent="0.3">
      <c r="A166" s="13">
        <v>43968</v>
      </c>
      <c r="B166" t="s">
        <v>16</v>
      </c>
      <c r="C166">
        <v>72861</v>
      </c>
      <c r="D166">
        <v>5952802.5</v>
      </c>
    </row>
    <row r="167" spans="1:4" x14ac:dyDescent="0.3">
      <c r="A167" s="13">
        <v>43960</v>
      </c>
      <c r="B167" t="s">
        <v>16</v>
      </c>
      <c r="C167">
        <v>83373</v>
      </c>
      <c r="D167">
        <v>7253427</v>
      </c>
    </row>
    <row r="168" spans="1:4" x14ac:dyDescent="0.3">
      <c r="A168" s="13">
        <v>43955</v>
      </c>
      <c r="B168" t="s">
        <v>16</v>
      </c>
      <c r="C168">
        <v>64108.5</v>
      </c>
      <c r="D168">
        <v>5561452.5</v>
      </c>
    </row>
    <row r="169" spans="1:4" x14ac:dyDescent="0.3">
      <c r="A169" s="13">
        <v>43950</v>
      </c>
      <c r="B169" t="s">
        <v>16</v>
      </c>
      <c r="C169">
        <v>74707.5</v>
      </c>
      <c r="D169">
        <v>6454458</v>
      </c>
    </row>
    <row r="170" spans="1:4" x14ac:dyDescent="0.3">
      <c r="A170" s="13">
        <v>43953</v>
      </c>
      <c r="B170" t="s">
        <v>16</v>
      </c>
      <c r="C170">
        <v>46216.5</v>
      </c>
      <c r="D170">
        <v>4118251.5</v>
      </c>
    </row>
    <row r="171" spans="1:4" x14ac:dyDescent="0.3">
      <c r="A171" s="13">
        <v>43977</v>
      </c>
      <c r="B171" t="s">
        <v>16</v>
      </c>
      <c r="C171">
        <v>67726.5</v>
      </c>
      <c r="D171">
        <v>5864989.5</v>
      </c>
    </row>
    <row r="172" spans="1:4" x14ac:dyDescent="0.3">
      <c r="A172" s="13">
        <v>43952</v>
      </c>
      <c r="B172" t="s">
        <v>16</v>
      </c>
      <c r="C172">
        <v>82228.5</v>
      </c>
      <c r="D172">
        <v>7032225</v>
      </c>
    </row>
    <row r="173" spans="1:4" x14ac:dyDescent="0.3">
      <c r="A173" s="13">
        <v>43963</v>
      </c>
      <c r="B173" t="s">
        <v>16</v>
      </c>
      <c r="C173">
        <v>64390.5</v>
      </c>
      <c r="D173">
        <v>5523145.5</v>
      </c>
    </row>
    <row r="174" spans="1:4" x14ac:dyDescent="0.3">
      <c r="A174" s="13">
        <v>43972</v>
      </c>
      <c r="B174" t="s">
        <v>16</v>
      </c>
      <c r="C174">
        <v>73126.5</v>
      </c>
      <c r="D174">
        <v>5864085</v>
      </c>
    </row>
    <row r="175" spans="1:4" x14ac:dyDescent="0.3">
      <c r="A175" s="13">
        <v>43971</v>
      </c>
      <c r="B175" t="s">
        <v>16</v>
      </c>
      <c r="C175">
        <v>99631.5</v>
      </c>
      <c r="D175">
        <v>7121946</v>
      </c>
    </row>
    <row r="176" spans="1:4" x14ac:dyDescent="0.3">
      <c r="A176" s="13">
        <v>43956</v>
      </c>
      <c r="B176" t="s">
        <v>16</v>
      </c>
      <c r="C176">
        <v>66396</v>
      </c>
      <c r="D176">
        <v>5770539</v>
      </c>
    </row>
    <row r="177" spans="1:4" x14ac:dyDescent="0.3">
      <c r="A177" s="13">
        <v>43949</v>
      </c>
      <c r="B177" t="s">
        <v>16</v>
      </c>
      <c r="C177">
        <v>73147.5</v>
      </c>
      <c r="D177">
        <v>6288246</v>
      </c>
    </row>
    <row r="178" spans="1:4" x14ac:dyDescent="0.3">
      <c r="A178" s="13">
        <v>43964</v>
      </c>
      <c r="B178" t="s">
        <v>16</v>
      </c>
      <c r="C178">
        <v>73062</v>
      </c>
      <c r="D178">
        <v>6333828</v>
      </c>
    </row>
    <row r="179" spans="1:4" x14ac:dyDescent="0.3">
      <c r="A179" s="13">
        <v>43982</v>
      </c>
      <c r="B179" t="s">
        <v>15</v>
      </c>
      <c r="C179">
        <v>379663.5</v>
      </c>
      <c r="D179">
        <v>39380178</v>
      </c>
    </row>
    <row r="180" spans="1:4" x14ac:dyDescent="0.3">
      <c r="A180" s="13">
        <v>43954</v>
      </c>
      <c r="B180" t="s">
        <v>16</v>
      </c>
      <c r="C180">
        <v>70581</v>
      </c>
      <c r="D180">
        <v>6221320.5</v>
      </c>
    </row>
    <row r="181" spans="1:4" x14ac:dyDescent="0.3">
      <c r="A181" s="13">
        <v>43981</v>
      </c>
      <c r="B181" t="s">
        <v>15</v>
      </c>
      <c r="C181">
        <v>453123</v>
      </c>
      <c r="D181">
        <v>46370904</v>
      </c>
    </row>
    <row r="182" spans="1:4" x14ac:dyDescent="0.3">
      <c r="A182" s="13">
        <v>43957</v>
      </c>
      <c r="B182" t="s">
        <v>16</v>
      </c>
      <c r="C182">
        <v>63012</v>
      </c>
      <c r="D182">
        <v>5454121.5</v>
      </c>
    </row>
    <row r="183" spans="1:4" x14ac:dyDescent="0.3">
      <c r="A183" s="13">
        <v>43974</v>
      </c>
      <c r="B183" t="s">
        <v>16</v>
      </c>
      <c r="C183">
        <v>89556</v>
      </c>
      <c r="D183">
        <v>7173117</v>
      </c>
    </row>
    <row r="184" spans="1:4" x14ac:dyDescent="0.3">
      <c r="A184" s="13">
        <v>43979</v>
      </c>
      <c r="B184" t="s">
        <v>15</v>
      </c>
      <c r="C184">
        <v>364638</v>
      </c>
      <c r="D184">
        <v>37947688.5</v>
      </c>
    </row>
    <row r="185" spans="1:4" x14ac:dyDescent="0.3">
      <c r="A185" s="13">
        <v>43976</v>
      </c>
      <c r="B185" t="s">
        <v>16</v>
      </c>
      <c r="C185">
        <v>66316.5</v>
      </c>
      <c r="D185">
        <v>5704650</v>
      </c>
    </row>
    <row r="186" spans="1:4" x14ac:dyDescent="0.3">
      <c r="A186" s="13">
        <v>43951</v>
      </c>
      <c r="B186" t="s">
        <v>16</v>
      </c>
      <c r="C186">
        <v>78235.5</v>
      </c>
      <c r="D186">
        <v>6819594</v>
      </c>
    </row>
    <row r="187" spans="1:4" x14ac:dyDescent="0.3">
      <c r="A187" s="13">
        <v>43961</v>
      </c>
      <c r="B187" t="s">
        <v>16</v>
      </c>
      <c r="C187">
        <v>88311</v>
      </c>
      <c r="D187">
        <v>7726069.5</v>
      </c>
    </row>
    <row r="188" spans="1:4" x14ac:dyDescent="0.3">
      <c r="A188" s="13">
        <v>43959</v>
      </c>
      <c r="B188" t="s">
        <v>16</v>
      </c>
      <c r="C188">
        <v>61804.5</v>
      </c>
      <c r="D188">
        <v>5365708.5</v>
      </c>
    </row>
    <row r="189" spans="1:4" x14ac:dyDescent="0.3">
      <c r="A189" s="13">
        <v>43958</v>
      </c>
      <c r="B189" t="s">
        <v>16</v>
      </c>
      <c r="C189">
        <v>71067</v>
      </c>
      <c r="D189">
        <v>6175837.5</v>
      </c>
    </row>
    <row r="190" spans="1:4" x14ac:dyDescent="0.3">
      <c r="A190" s="13">
        <v>43975</v>
      </c>
      <c r="B190" t="s">
        <v>16</v>
      </c>
      <c r="C190">
        <v>74649</v>
      </c>
      <c r="D190">
        <v>6098236.5</v>
      </c>
    </row>
    <row r="191" spans="1:4" x14ac:dyDescent="0.3">
      <c r="A191" s="13">
        <v>43967</v>
      </c>
      <c r="B191" t="s">
        <v>17</v>
      </c>
      <c r="C191">
        <v>44560.5</v>
      </c>
      <c r="D191">
        <v>4025148</v>
      </c>
    </row>
    <row r="192" spans="1:4" x14ac:dyDescent="0.3">
      <c r="A192" s="13">
        <v>43970</v>
      </c>
      <c r="B192" t="s">
        <v>17</v>
      </c>
      <c r="C192">
        <v>38250</v>
      </c>
      <c r="D192">
        <v>3552937.5</v>
      </c>
    </row>
    <row r="193" spans="1:4" x14ac:dyDescent="0.3">
      <c r="A193" s="13">
        <v>43968</v>
      </c>
      <c r="B193" t="s">
        <v>17</v>
      </c>
      <c r="C193">
        <v>34830</v>
      </c>
      <c r="D193">
        <v>3191155.5</v>
      </c>
    </row>
    <row r="194" spans="1:4" x14ac:dyDescent="0.3">
      <c r="A194" s="13">
        <v>43960</v>
      </c>
      <c r="B194" t="s">
        <v>17</v>
      </c>
      <c r="C194">
        <v>32239.5</v>
      </c>
      <c r="D194">
        <v>3084892.5</v>
      </c>
    </row>
    <row r="195" spans="1:4" x14ac:dyDescent="0.3">
      <c r="A195" s="13">
        <v>43955</v>
      </c>
      <c r="B195" t="s">
        <v>17</v>
      </c>
      <c r="C195">
        <v>30780</v>
      </c>
      <c r="D195">
        <v>2817853.5</v>
      </c>
    </row>
    <row r="196" spans="1:4" x14ac:dyDescent="0.3">
      <c r="A196" s="13">
        <v>43950</v>
      </c>
      <c r="B196" t="s">
        <v>17</v>
      </c>
      <c r="C196">
        <v>29142</v>
      </c>
      <c r="D196">
        <v>2627595</v>
      </c>
    </row>
    <row r="197" spans="1:4" x14ac:dyDescent="0.3">
      <c r="A197" s="13">
        <v>43953</v>
      </c>
      <c r="B197" t="s">
        <v>17</v>
      </c>
      <c r="C197">
        <v>26428.5</v>
      </c>
      <c r="D197">
        <v>2470465.5</v>
      </c>
    </row>
    <row r="198" spans="1:4" x14ac:dyDescent="0.3">
      <c r="A198" s="13">
        <v>43977</v>
      </c>
      <c r="B198" t="s">
        <v>17</v>
      </c>
      <c r="C198">
        <v>40744.5</v>
      </c>
      <c r="D198">
        <v>3700311</v>
      </c>
    </row>
    <row r="199" spans="1:4" x14ac:dyDescent="0.3">
      <c r="A199" s="13">
        <v>43952</v>
      </c>
      <c r="B199" t="s">
        <v>17</v>
      </c>
      <c r="C199">
        <v>46620</v>
      </c>
      <c r="D199">
        <v>4293241.5</v>
      </c>
    </row>
    <row r="200" spans="1:4" x14ac:dyDescent="0.3">
      <c r="A200" s="13">
        <v>43963</v>
      </c>
      <c r="B200" t="s">
        <v>17</v>
      </c>
      <c r="C200">
        <v>32419.5</v>
      </c>
      <c r="D200">
        <v>3080614.5</v>
      </c>
    </row>
    <row r="201" spans="1:4" x14ac:dyDescent="0.3">
      <c r="A201" s="13">
        <v>43972</v>
      </c>
      <c r="B201" t="s">
        <v>17</v>
      </c>
      <c r="C201">
        <v>40819.5</v>
      </c>
      <c r="D201">
        <v>3810394.5</v>
      </c>
    </row>
    <row r="202" spans="1:4" x14ac:dyDescent="0.3">
      <c r="A202" s="13">
        <v>43971</v>
      </c>
      <c r="B202" t="s">
        <v>17</v>
      </c>
      <c r="C202">
        <v>41391</v>
      </c>
      <c r="D202">
        <v>3918987</v>
      </c>
    </row>
    <row r="203" spans="1:4" x14ac:dyDescent="0.3">
      <c r="A203" s="13">
        <v>43956</v>
      </c>
      <c r="B203" t="s">
        <v>17</v>
      </c>
      <c r="C203">
        <v>29482.5</v>
      </c>
      <c r="D203">
        <v>2648688</v>
      </c>
    </row>
    <row r="204" spans="1:4" x14ac:dyDescent="0.3">
      <c r="A204" s="13">
        <v>43949</v>
      </c>
      <c r="B204" t="s">
        <v>17</v>
      </c>
      <c r="C204">
        <v>32181</v>
      </c>
      <c r="D204">
        <v>2863600.5</v>
      </c>
    </row>
    <row r="205" spans="1:4" x14ac:dyDescent="0.3">
      <c r="A205" s="13">
        <v>43964</v>
      </c>
      <c r="B205" t="s">
        <v>17</v>
      </c>
      <c r="C205">
        <v>35535</v>
      </c>
      <c r="D205">
        <v>3288069</v>
      </c>
    </row>
    <row r="206" spans="1:4" x14ac:dyDescent="0.3">
      <c r="A206" s="13">
        <v>43982</v>
      </c>
      <c r="B206" t="s">
        <v>16</v>
      </c>
      <c r="C206">
        <v>76234.5</v>
      </c>
      <c r="D206">
        <v>6500848.5</v>
      </c>
    </row>
    <row r="207" spans="1:4" x14ac:dyDescent="0.3">
      <c r="A207" s="13">
        <v>43954</v>
      </c>
      <c r="B207" t="s">
        <v>17</v>
      </c>
      <c r="C207">
        <v>29935.5</v>
      </c>
      <c r="D207">
        <v>2720002.5</v>
      </c>
    </row>
    <row r="208" spans="1:4" x14ac:dyDescent="0.3">
      <c r="A208" s="13">
        <v>43981</v>
      </c>
      <c r="B208" t="s">
        <v>16</v>
      </c>
      <c r="C208">
        <v>106926</v>
      </c>
      <c r="D208">
        <v>9098386.5</v>
      </c>
    </row>
    <row r="209" spans="1:4" x14ac:dyDescent="0.3">
      <c r="A209" s="13">
        <v>43957</v>
      </c>
      <c r="B209" t="s">
        <v>17</v>
      </c>
      <c r="C209">
        <v>30342</v>
      </c>
      <c r="D209">
        <v>2738127</v>
      </c>
    </row>
    <row r="210" spans="1:4" x14ac:dyDescent="0.3">
      <c r="A210" s="13">
        <v>43974</v>
      </c>
      <c r="B210" t="s">
        <v>17</v>
      </c>
      <c r="C210">
        <v>42999</v>
      </c>
      <c r="D210">
        <v>3883215</v>
      </c>
    </row>
    <row r="211" spans="1:4" x14ac:dyDescent="0.3">
      <c r="A211" s="13">
        <v>43979</v>
      </c>
      <c r="B211" t="s">
        <v>16</v>
      </c>
      <c r="C211">
        <v>69945</v>
      </c>
      <c r="D211">
        <v>6101931</v>
      </c>
    </row>
    <row r="212" spans="1:4" x14ac:dyDescent="0.3">
      <c r="A212" s="13">
        <v>43976</v>
      </c>
      <c r="B212" t="s">
        <v>17</v>
      </c>
      <c r="C212">
        <v>38740.5</v>
      </c>
      <c r="D212">
        <v>3561655.5</v>
      </c>
    </row>
    <row r="213" spans="1:4" x14ac:dyDescent="0.3">
      <c r="A213" s="13">
        <v>43951</v>
      </c>
      <c r="B213" t="s">
        <v>17</v>
      </c>
      <c r="C213">
        <v>31231.5</v>
      </c>
      <c r="D213">
        <v>2853310.5</v>
      </c>
    </row>
    <row r="214" spans="1:4" x14ac:dyDescent="0.3">
      <c r="A214" s="13">
        <v>43961</v>
      </c>
      <c r="B214" t="s">
        <v>17</v>
      </c>
      <c r="C214">
        <v>37489.5</v>
      </c>
      <c r="D214">
        <v>3549097.5</v>
      </c>
    </row>
    <row r="215" spans="1:4" x14ac:dyDescent="0.3">
      <c r="A215" s="13">
        <v>43959</v>
      </c>
      <c r="B215" t="s">
        <v>17</v>
      </c>
      <c r="C215">
        <v>34399.5</v>
      </c>
      <c r="D215">
        <v>3201358.5</v>
      </c>
    </row>
    <row r="216" spans="1:4" x14ac:dyDescent="0.3">
      <c r="A216" s="13">
        <v>43958</v>
      </c>
      <c r="B216" t="s">
        <v>17</v>
      </c>
      <c r="C216">
        <v>32851.5</v>
      </c>
      <c r="D216">
        <v>2934504</v>
      </c>
    </row>
    <row r="217" spans="1:4" x14ac:dyDescent="0.3">
      <c r="A217" s="13">
        <v>43975</v>
      </c>
      <c r="B217" t="s">
        <v>17</v>
      </c>
      <c r="C217">
        <v>38194.5</v>
      </c>
      <c r="D217">
        <v>3449302.5</v>
      </c>
    </row>
    <row r="218" spans="1:4" x14ac:dyDescent="0.3">
      <c r="A218" s="13">
        <v>43982</v>
      </c>
      <c r="B218" t="s">
        <v>17</v>
      </c>
      <c r="C218">
        <v>42423</v>
      </c>
      <c r="D218">
        <v>3994153.5</v>
      </c>
    </row>
    <row r="219" spans="1:4" x14ac:dyDescent="0.3">
      <c r="A219" s="13">
        <v>43981</v>
      </c>
      <c r="B219" t="s">
        <v>17</v>
      </c>
      <c r="C219">
        <v>48286.5</v>
      </c>
      <c r="D219">
        <v>4456441.5</v>
      </c>
    </row>
    <row r="220" spans="1:4" x14ac:dyDescent="0.3">
      <c r="A220" s="13">
        <v>43979</v>
      </c>
      <c r="B220" t="s">
        <v>17</v>
      </c>
      <c r="C220">
        <v>41442</v>
      </c>
      <c r="D220">
        <v>3893680.5</v>
      </c>
    </row>
    <row r="221" spans="1:4" x14ac:dyDescent="0.3">
      <c r="A221" s="13">
        <v>43967</v>
      </c>
      <c r="B221" t="s">
        <v>18</v>
      </c>
      <c r="C221">
        <v>18600</v>
      </c>
      <c r="D221">
        <v>1601425.5</v>
      </c>
    </row>
    <row r="222" spans="1:4" x14ac:dyDescent="0.3">
      <c r="A222" s="13">
        <v>43970</v>
      </c>
      <c r="B222" t="s">
        <v>18</v>
      </c>
      <c r="C222">
        <v>16638</v>
      </c>
      <c r="D222">
        <v>1364847</v>
      </c>
    </row>
    <row r="223" spans="1:4" x14ac:dyDescent="0.3">
      <c r="A223" s="13">
        <v>43968</v>
      </c>
      <c r="B223" t="s">
        <v>18</v>
      </c>
      <c r="C223">
        <v>15609</v>
      </c>
      <c r="D223">
        <v>1377577.5</v>
      </c>
    </row>
    <row r="224" spans="1:4" x14ac:dyDescent="0.3">
      <c r="A224" s="13">
        <v>43960</v>
      </c>
      <c r="B224" t="s">
        <v>18</v>
      </c>
      <c r="C224">
        <v>13948.5</v>
      </c>
      <c r="D224">
        <v>1222932</v>
      </c>
    </row>
    <row r="225" spans="1:4" x14ac:dyDescent="0.3">
      <c r="A225" s="13">
        <v>43955</v>
      </c>
      <c r="B225" t="s">
        <v>18</v>
      </c>
      <c r="C225">
        <v>12301.5</v>
      </c>
      <c r="D225">
        <v>1085211</v>
      </c>
    </row>
    <row r="226" spans="1:4" x14ac:dyDescent="0.3">
      <c r="A226" s="13">
        <v>43950</v>
      </c>
      <c r="B226" t="s">
        <v>18</v>
      </c>
      <c r="C226">
        <v>13014</v>
      </c>
      <c r="D226">
        <v>1115992.5</v>
      </c>
    </row>
    <row r="227" spans="1:4" x14ac:dyDescent="0.3">
      <c r="A227" s="13">
        <v>43953</v>
      </c>
      <c r="B227" t="s">
        <v>18</v>
      </c>
      <c r="C227">
        <v>12313.5</v>
      </c>
      <c r="D227">
        <v>1053220.5</v>
      </c>
    </row>
    <row r="228" spans="1:4" x14ac:dyDescent="0.3">
      <c r="A228" s="13">
        <v>43977</v>
      </c>
      <c r="B228" t="s">
        <v>18</v>
      </c>
      <c r="C228">
        <v>17391</v>
      </c>
      <c r="D228">
        <v>1489132.5</v>
      </c>
    </row>
    <row r="229" spans="1:4" x14ac:dyDescent="0.3">
      <c r="A229" s="13">
        <v>43952</v>
      </c>
      <c r="B229" t="s">
        <v>18</v>
      </c>
      <c r="C229">
        <v>17113.5</v>
      </c>
      <c r="D229">
        <v>1465842</v>
      </c>
    </row>
    <row r="230" spans="1:4" x14ac:dyDescent="0.3">
      <c r="A230" s="13">
        <v>43963</v>
      </c>
      <c r="B230" t="s">
        <v>18</v>
      </c>
      <c r="C230">
        <v>12802.5</v>
      </c>
      <c r="D230">
        <v>1123830</v>
      </c>
    </row>
    <row r="231" spans="1:4" x14ac:dyDescent="0.3">
      <c r="A231" s="13">
        <v>43972</v>
      </c>
      <c r="B231" t="s">
        <v>18</v>
      </c>
      <c r="C231">
        <v>16554</v>
      </c>
      <c r="D231">
        <v>1380751.5</v>
      </c>
    </row>
    <row r="232" spans="1:4" x14ac:dyDescent="0.3">
      <c r="A232" s="13">
        <v>43971</v>
      </c>
      <c r="B232" t="s">
        <v>18</v>
      </c>
      <c r="C232">
        <v>17329.5</v>
      </c>
      <c r="D232">
        <v>1430254.5</v>
      </c>
    </row>
    <row r="233" spans="1:4" x14ac:dyDescent="0.3">
      <c r="A233" s="13">
        <v>43956</v>
      </c>
      <c r="B233" t="s">
        <v>18</v>
      </c>
      <c r="C233">
        <v>15987</v>
      </c>
      <c r="D233">
        <v>1384179</v>
      </c>
    </row>
    <row r="234" spans="1:4" x14ac:dyDescent="0.3">
      <c r="A234" s="13">
        <v>43949</v>
      </c>
      <c r="B234" t="s">
        <v>18</v>
      </c>
      <c r="C234">
        <v>13303.5</v>
      </c>
      <c r="D234">
        <v>1102887</v>
      </c>
    </row>
    <row r="235" spans="1:4" x14ac:dyDescent="0.3">
      <c r="A235" s="13">
        <v>43964</v>
      </c>
      <c r="B235" t="s">
        <v>18</v>
      </c>
      <c r="C235">
        <v>14305.5</v>
      </c>
      <c r="D235">
        <v>1243507.5</v>
      </c>
    </row>
    <row r="236" spans="1:4" x14ac:dyDescent="0.3">
      <c r="A236" s="13">
        <v>43954</v>
      </c>
      <c r="B236" t="s">
        <v>18</v>
      </c>
      <c r="C236">
        <v>12924</v>
      </c>
      <c r="D236">
        <v>1120009.5</v>
      </c>
    </row>
    <row r="237" spans="1:4" x14ac:dyDescent="0.3">
      <c r="A237" s="13">
        <v>43957</v>
      </c>
      <c r="B237" t="s">
        <v>18</v>
      </c>
      <c r="C237">
        <v>14061</v>
      </c>
      <c r="D237">
        <v>1221057</v>
      </c>
    </row>
    <row r="238" spans="1:4" x14ac:dyDescent="0.3">
      <c r="A238" s="13">
        <v>43974</v>
      </c>
      <c r="B238" t="s">
        <v>18</v>
      </c>
      <c r="C238">
        <v>21958.5</v>
      </c>
      <c r="D238">
        <v>1854001.5</v>
      </c>
    </row>
    <row r="239" spans="1:4" x14ac:dyDescent="0.3">
      <c r="A239" s="13">
        <v>43976</v>
      </c>
      <c r="B239" t="s">
        <v>18</v>
      </c>
      <c r="C239">
        <v>17211</v>
      </c>
      <c r="D239">
        <v>1507867.5</v>
      </c>
    </row>
    <row r="240" spans="1:4" x14ac:dyDescent="0.3">
      <c r="A240" s="13">
        <v>43951</v>
      </c>
      <c r="B240" t="s">
        <v>18</v>
      </c>
      <c r="C240">
        <v>12753</v>
      </c>
      <c r="D240">
        <v>1103068.5</v>
      </c>
    </row>
    <row r="241" spans="1:4" x14ac:dyDescent="0.3">
      <c r="A241" s="13">
        <v>43961</v>
      </c>
      <c r="B241" t="s">
        <v>18</v>
      </c>
      <c r="C241">
        <v>16435.5</v>
      </c>
      <c r="D241">
        <v>1471537.5</v>
      </c>
    </row>
    <row r="242" spans="1:4" x14ac:dyDescent="0.3">
      <c r="A242" s="13">
        <v>43959</v>
      </c>
      <c r="B242" t="s">
        <v>18</v>
      </c>
      <c r="C242">
        <v>14494.5</v>
      </c>
      <c r="D242">
        <v>1269786</v>
      </c>
    </row>
    <row r="243" spans="1:4" x14ac:dyDescent="0.3">
      <c r="A243" s="13">
        <v>43958</v>
      </c>
      <c r="B243" t="s">
        <v>18</v>
      </c>
      <c r="C243">
        <v>12705</v>
      </c>
      <c r="D243">
        <v>1123894.5</v>
      </c>
    </row>
    <row r="244" spans="1:4" x14ac:dyDescent="0.3">
      <c r="A244" s="13">
        <v>43975</v>
      </c>
      <c r="B244" t="s">
        <v>18</v>
      </c>
      <c r="C244">
        <v>18075</v>
      </c>
      <c r="D244">
        <v>1548099</v>
      </c>
    </row>
    <row r="245" spans="1:4" x14ac:dyDescent="0.3">
      <c r="A245" s="13">
        <v>43967</v>
      </c>
      <c r="B245" t="s">
        <v>19</v>
      </c>
      <c r="C245">
        <v>13120.5</v>
      </c>
      <c r="D245">
        <v>1215033</v>
      </c>
    </row>
    <row r="246" spans="1:4" x14ac:dyDescent="0.3">
      <c r="A246" s="13">
        <v>43970</v>
      </c>
      <c r="B246" t="s">
        <v>19</v>
      </c>
      <c r="C246">
        <v>16237.5</v>
      </c>
      <c r="D246">
        <v>1403047.5</v>
      </c>
    </row>
    <row r="247" spans="1:4" x14ac:dyDescent="0.3">
      <c r="A247" s="13">
        <v>43968</v>
      </c>
      <c r="B247" t="s">
        <v>19</v>
      </c>
      <c r="C247">
        <v>11967</v>
      </c>
      <c r="D247">
        <v>1060489.5</v>
      </c>
    </row>
    <row r="248" spans="1:4" x14ac:dyDescent="0.3">
      <c r="A248" s="13">
        <v>43960</v>
      </c>
      <c r="B248" t="s">
        <v>19</v>
      </c>
      <c r="C248">
        <v>12037.5</v>
      </c>
      <c r="D248">
        <v>1081216.5</v>
      </c>
    </row>
    <row r="249" spans="1:4" x14ac:dyDescent="0.3">
      <c r="A249" s="13">
        <v>43955</v>
      </c>
      <c r="B249" t="s">
        <v>19</v>
      </c>
      <c r="C249">
        <v>7087.5</v>
      </c>
      <c r="D249">
        <v>610855.5</v>
      </c>
    </row>
    <row r="250" spans="1:4" x14ac:dyDescent="0.3">
      <c r="A250" s="13">
        <v>43950</v>
      </c>
      <c r="B250" t="s">
        <v>20</v>
      </c>
      <c r="C250">
        <v>25816.5</v>
      </c>
      <c r="D250">
        <v>2360914.5</v>
      </c>
    </row>
    <row r="251" spans="1:4" x14ac:dyDescent="0.3">
      <c r="A251" s="13">
        <v>43953</v>
      </c>
      <c r="B251" t="s">
        <v>19</v>
      </c>
      <c r="C251">
        <v>4624.5</v>
      </c>
      <c r="D251">
        <v>433243.5</v>
      </c>
    </row>
    <row r="252" spans="1:4" x14ac:dyDescent="0.3">
      <c r="A252" s="13">
        <v>43977</v>
      </c>
      <c r="B252" t="s">
        <v>19</v>
      </c>
      <c r="C252">
        <v>12259.5</v>
      </c>
      <c r="D252">
        <v>1152054</v>
      </c>
    </row>
    <row r="253" spans="1:4" x14ac:dyDescent="0.3">
      <c r="A253" s="13">
        <v>43952</v>
      </c>
      <c r="B253" t="s">
        <v>19</v>
      </c>
      <c r="C253">
        <v>5446.5</v>
      </c>
      <c r="D253">
        <v>505572</v>
      </c>
    </row>
    <row r="254" spans="1:4" x14ac:dyDescent="0.3">
      <c r="A254" s="13">
        <v>43963</v>
      </c>
      <c r="B254" t="s">
        <v>19</v>
      </c>
      <c r="C254">
        <v>11296.5</v>
      </c>
      <c r="D254">
        <v>989632.5</v>
      </c>
    </row>
    <row r="255" spans="1:4" x14ac:dyDescent="0.3">
      <c r="A255" s="13">
        <v>43972</v>
      </c>
      <c r="B255" t="s">
        <v>19</v>
      </c>
      <c r="C255">
        <v>12135</v>
      </c>
      <c r="D255">
        <v>1103623.5</v>
      </c>
    </row>
    <row r="256" spans="1:4" x14ac:dyDescent="0.3">
      <c r="A256" s="13">
        <v>43971</v>
      </c>
      <c r="B256" t="s">
        <v>19</v>
      </c>
      <c r="C256">
        <v>12630</v>
      </c>
      <c r="D256">
        <v>1104858</v>
      </c>
    </row>
    <row r="257" spans="1:4" x14ac:dyDescent="0.3">
      <c r="A257" s="13">
        <v>43956</v>
      </c>
      <c r="B257" t="s">
        <v>19</v>
      </c>
      <c r="C257">
        <v>8223</v>
      </c>
      <c r="D257">
        <v>694593</v>
      </c>
    </row>
    <row r="258" spans="1:4" x14ac:dyDescent="0.3">
      <c r="A258" s="13">
        <v>43949</v>
      </c>
      <c r="B258" t="s">
        <v>20</v>
      </c>
      <c r="C258">
        <v>25149</v>
      </c>
      <c r="D258">
        <v>2277072</v>
      </c>
    </row>
    <row r="259" spans="1:4" x14ac:dyDescent="0.3">
      <c r="A259" s="13">
        <v>43964</v>
      </c>
      <c r="B259" t="s">
        <v>19</v>
      </c>
      <c r="C259">
        <v>10401</v>
      </c>
      <c r="D259">
        <v>949912.5</v>
      </c>
    </row>
    <row r="260" spans="1:4" x14ac:dyDescent="0.3">
      <c r="A260" s="13">
        <v>43982</v>
      </c>
      <c r="B260" t="s">
        <v>18</v>
      </c>
      <c r="C260">
        <v>17689.5</v>
      </c>
      <c r="D260">
        <v>1592119.5</v>
      </c>
    </row>
    <row r="261" spans="1:4" x14ac:dyDescent="0.3">
      <c r="A261" s="13">
        <v>43954</v>
      </c>
      <c r="B261" t="s">
        <v>19</v>
      </c>
      <c r="C261">
        <v>8127</v>
      </c>
      <c r="D261">
        <v>665302.5</v>
      </c>
    </row>
    <row r="262" spans="1:4" x14ac:dyDescent="0.3">
      <c r="A262" s="13">
        <v>43981</v>
      </c>
      <c r="B262" t="s">
        <v>18</v>
      </c>
      <c r="C262">
        <v>27250.5</v>
      </c>
      <c r="D262">
        <v>2457252</v>
      </c>
    </row>
    <row r="263" spans="1:4" x14ac:dyDescent="0.3">
      <c r="A263" s="13">
        <v>43957</v>
      </c>
      <c r="B263" t="s">
        <v>19</v>
      </c>
      <c r="C263">
        <v>8464.5</v>
      </c>
      <c r="D263">
        <v>739291.5</v>
      </c>
    </row>
    <row r="264" spans="1:4" x14ac:dyDescent="0.3">
      <c r="A264" s="13">
        <v>43974</v>
      </c>
      <c r="B264" t="s">
        <v>19</v>
      </c>
      <c r="C264">
        <v>14167.5</v>
      </c>
      <c r="D264">
        <v>1315075.5</v>
      </c>
    </row>
    <row r="265" spans="1:4" x14ac:dyDescent="0.3">
      <c r="A265" s="13">
        <v>43979</v>
      </c>
      <c r="B265" t="s">
        <v>18</v>
      </c>
      <c r="C265">
        <v>16500</v>
      </c>
      <c r="D265">
        <v>1487928</v>
      </c>
    </row>
    <row r="266" spans="1:4" x14ac:dyDescent="0.3">
      <c r="A266" s="13">
        <v>43976</v>
      </c>
      <c r="B266" t="s">
        <v>19</v>
      </c>
      <c r="C266">
        <v>13260</v>
      </c>
      <c r="D266">
        <v>1230687</v>
      </c>
    </row>
    <row r="267" spans="1:4" x14ac:dyDescent="0.3">
      <c r="A267" s="13">
        <v>43951</v>
      </c>
      <c r="B267" t="s">
        <v>19</v>
      </c>
      <c r="C267">
        <v>4285.5</v>
      </c>
      <c r="D267">
        <v>404691</v>
      </c>
    </row>
    <row r="268" spans="1:4" x14ac:dyDescent="0.3">
      <c r="A268" s="13">
        <v>43961</v>
      </c>
      <c r="B268" t="s">
        <v>19</v>
      </c>
      <c r="C268">
        <v>13440</v>
      </c>
      <c r="D268">
        <v>1198285.5</v>
      </c>
    </row>
    <row r="269" spans="1:4" x14ac:dyDescent="0.3">
      <c r="A269" s="13">
        <v>43959</v>
      </c>
      <c r="B269" t="s">
        <v>19</v>
      </c>
      <c r="C269">
        <v>9058.5</v>
      </c>
      <c r="D269">
        <v>798759</v>
      </c>
    </row>
    <row r="270" spans="1:4" x14ac:dyDescent="0.3">
      <c r="A270" s="13">
        <v>43958</v>
      </c>
      <c r="B270" t="s">
        <v>19</v>
      </c>
      <c r="C270">
        <v>8719.5</v>
      </c>
      <c r="D270">
        <v>769276.5</v>
      </c>
    </row>
    <row r="271" spans="1:4" x14ac:dyDescent="0.3">
      <c r="A271" s="13">
        <v>43975</v>
      </c>
      <c r="B271" t="s">
        <v>19</v>
      </c>
      <c r="C271">
        <v>12666</v>
      </c>
      <c r="D271">
        <v>1184865</v>
      </c>
    </row>
    <row r="272" spans="1:4" x14ac:dyDescent="0.3">
      <c r="A272" s="13">
        <v>43967</v>
      </c>
      <c r="B272" t="s">
        <v>20</v>
      </c>
      <c r="C272">
        <v>34563</v>
      </c>
      <c r="D272">
        <v>2922883.5</v>
      </c>
    </row>
    <row r="273" spans="1:4" x14ac:dyDescent="0.3">
      <c r="A273" s="13">
        <v>43970</v>
      </c>
      <c r="B273" t="s">
        <v>20</v>
      </c>
      <c r="C273">
        <v>28882.5</v>
      </c>
      <c r="D273">
        <v>2446530</v>
      </c>
    </row>
    <row r="274" spans="1:4" x14ac:dyDescent="0.3">
      <c r="A274" s="13">
        <v>43968</v>
      </c>
      <c r="B274" t="s">
        <v>20</v>
      </c>
      <c r="C274">
        <v>28275</v>
      </c>
      <c r="D274">
        <v>2435632.5</v>
      </c>
    </row>
    <row r="275" spans="1:4" x14ac:dyDescent="0.3">
      <c r="A275" s="13">
        <v>43960</v>
      </c>
      <c r="B275" t="s">
        <v>20</v>
      </c>
      <c r="C275">
        <v>26271</v>
      </c>
      <c r="D275">
        <v>2384937</v>
      </c>
    </row>
    <row r="276" spans="1:4" x14ac:dyDescent="0.3">
      <c r="A276" s="13">
        <v>43955</v>
      </c>
      <c r="B276" t="s">
        <v>20</v>
      </c>
      <c r="C276">
        <v>23587.5</v>
      </c>
      <c r="D276">
        <v>2155668</v>
      </c>
    </row>
    <row r="277" spans="1:4" x14ac:dyDescent="0.3">
      <c r="A277" s="13">
        <v>43953</v>
      </c>
      <c r="B277" t="s">
        <v>20</v>
      </c>
      <c r="C277">
        <v>18427.5</v>
      </c>
      <c r="D277">
        <v>1682851.5</v>
      </c>
    </row>
    <row r="278" spans="1:4" x14ac:dyDescent="0.3">
      <c r="A278" s="13">
        <v>43977</v>
      </c>
      <c r="B278" t="s">
        <v>20</v>
      </c>
      <c r="C278">
        <v>27156</v>
      </c>
      <c r="D278">
        <v>2410803</v>
      </c>
    </row>
    <row r="279" spans="1:4" x14ac:dyDescent="0.3">
      <c r="A279" s="13">
        <v>43952</v>
      </c>
      <c r="B279" t="s">
        <v>20</v>
      </c>
      <c r="C279">
        <v>35190</v>
      </c>
      <c r="D279">
        <v>3168510</v>
      </c>
    </row>
    <row r="280" spans="1:4" x14ac:dyDescent="0.3">
      <c r="A280" s="13">
        <v>43963</v>
      </c>
      <c r="B280" t="s">
        <v>20</v>
      </c>
      <c r="C280">
        <v>25483.5</v>
      </c>
      <c r="D280">
        <v>2243160</v>
      </c>
    </row>
    <row r="281" spans="1:4" x14ac:dyDescent="0.3">
      <c r="A281" s="13">
        <v>43972</v>
      </c>
      <c r="B281" t="s">
        <v>20</v>
      </c>
      <c r="C281">
        <v>25362</v>
      </c>
      <c r="D281">
        <v>2198935.5</v>
      </c>
    </row>
    <row r="282" spans="1:4" x14ac:dyDescent="0.3">
      <c r="A282" s="13">
        <v>43971</v>
      </c>
      <c r="B282" t="s">
        <v>20</v>
      </c>
      <c r="C282">
        <v>28849.5</v>
      </c>
      <c r="D282">
        <v>2520759</v>
      </c>
    </row>
    <row r="283" spans="1:4" x14ac:dyDescent="0.3">
      <c r="A283" s="13">
        <v>43956</v>
      </c>
      <c r="B283" t="s">
        <v>20</v>
      </c>
      <c r="C283">
        <v>26367</v>
      </c>
      <c r="D283">
        <v>2380333.5</v>
      </c>
    </row>
    <row r="284" spans="1:4" x14ac:dyDescent="0.3">
      <c r="A284" s="13">
        <v>43964</v>
      </c>
      <c r="B284" t="s">
        <v>20</v>
      </c>
      <c r="C284">
        <v>25539</v>
      </c>
      <c r="D284">
        <v>2263651.5</v>
      </c>
    </row>
    <row r="285" spans="1:4" x14ac:dyDescent="0.3">
      <c r="A285" s="13">
        <v>43982</v>
      </c>
      <c r="B285" t="s">
        <v>19</v>
      </c>
      <c r="C285">
        <v>14808</v>
      </c>
      <c r="D285">
        <v>1336789.5</v>
      </c>
    </row>
    <row r="286" spans="1:4" x14ac:dyDescent="0.3">
      <c r="A286" s="13">
        <v>43954</v>
      </c>
      <c r="B286" t="s">
        <v>20</v>
      </c>
      <c r="C286">
        <v>21343.5</v>
      </c>
      <c r="D286">
        <v>1906557</v>
      </c>
    </row>
    <row r="287" spans="1:4" x14ac:dyDescent="0.3">
      <c r="A287" s="13">
        <v>43981</v>
      </c>
      <c r="B287" t="s">
        <v>19</v>
      </c>
      <c r="C287">
        <v>17946</v>
      </c>
      <c r="D287">
        <v>1609090.5</v>
      </c>
    </row>
    <row r="288" spans="1:4" x14ac:dyDescent="0.3">
      <c r="A288" s="13">
        <v>43957</v>
      </c>
      <c r="B288" t="s">
        <v>20</v>
      </c>
      <c r="C288">
        <v>24337.5</v>
      </c>
      <c r="D288">
        <v>2159350.5</v>
      </c>
    </row>
    <row r="289" spans="1:4" x14ac:dyDescent="0.3">
      <c r="A289" s="13">
        <v>43974</v>
      </c>
      <c r="B289" t="s">
        <v>20</v>
      </c>
      <c r="C289">
        <v>36997.5</v>
      </c>
      <c r="D289">
        <v>3089140.5</v>
      </c>
    </row>
    <row r="290" spans="1:4" x14ac:dyDescent="0.3">
      <c r="A290" s="13">
        <v>43979</v>
      </c>
      <c r="B290" t="s">
        <v>19</v>
      </c>
      <c r="C290">
        <v>13864.5</v>
      </c>
      <c r="D290">
        <v>1239747</v>
      </c>
    </row>
    <row r="291" spans="1:4" x14ac:dyDescent="0.3">
      <c r="A291" s="13">
        <v>43976</v>
      </c>
      <c r="B291" t="s">
        <v>20</v>
      </c>
      <c r="C291">
        <v>28494</v>
      </c>
      <c r="D291">
        <v>2512803</v>
      </c>
    </row>
    <row r="292" spans="1:4" x14ac:dyDescent="0.3">
      <c r="A292" s="13">
        <v>43951</v>
      </c>
      <c r="B292" t="s">
        <v>20</v>
      </c>
      <c r="C292">
        <v>27883.5</v>
      </c>
      <c r="D292">
        <v>2560080</v>
      </c>
    </row>
    <row r="293" spans="1:4" x14ac:dyDescent="0.3">
      <c r="A293" s="13">
        <v>43961</v>
      </c>
      <c r="B293" t="s">
        <v>20</v>
      </c>
      <c r="C293">
        <v>31224</v>
      </c>
      <c r="D293">
        <v>2767270.5</v>
      </c>
    </row>
    <row r="294" spans="1:4" x14ac:dyDescent="0.3">
      <c r="A294" s="13">
        <v>43959</v>
      </c>
      <c r="B294" t="s">
        <v>20</v>
      </c>
      <c r="C294">
        <v>25020</v>
      </c>
      <c r="D294">
        <v>2235960</v>
      </c>
    </row>
    <row r="295" spans="1:4" x14ac:dyDescent="0.3">
      <c r="A295" s="13">
        <v>43958</v>
      </c>
      <c r="B295" t="s">
        <v>20</v>
      </c>
      <c r="C295">
        <v>26184</v>
      </c>
      <c r="D295">
        <v>2308336.5</v>
      </c>
    </row>
    <row r="296" spans="1:4" x14ac:dyDescent="0.3">
      <c r="A296" s="13">
        <v>43975</v>
      </c>
      <c r="B296" t="s">
        <v>20</v>
      </c>
      <c r="C296">
        <v>29824.5</v>
      </c>
      <c r="D296">
        <v>2526909</v>
      </c>
    </row>
    <row r="297" spans="1:4" x14ac:dyDescent="0.3">
      <c r="A297" s="13">
        <v>43950</v>
      </c>
      <c r="B297" t="s">
        <v>21</v>
      </c>
      <c r="C297">
        <v>208351.5</v>
      </c>
      <c r="D297">
        <v>21615333</v>
      </c>
    </row>
    <row r="298" spans="1:4" x14ac:dyDescent="0.3">
      <c r="A298" s="13">
        <v>43949</v>
      </c>
      <c r="B298" t="s">
        <v>21</v>
      </c>
      <c r="C298">
        <v>204637.5</v>
      </c>
      <c r="D298">
        <v>21114898.5</v>
      </c>
    </row>
    <row r="299" spans="1:4" x14ac:dyDescent="0.3">
      <c r="A299" s="13">
        <v>43982</v>
      </c>
      <c r="B299" t="s">
        <v>20</v>
      </c>
      <c r="C299">
        <v>31372.5</v>
      </c>
      <c r="D299">
        <v>2794324.5</v>
      </c>
    </row>
    <row r="300" spans="1:4" x14ac:dyDescent="0.3">
      <c r="A300" s="13">
        <v>43981</v>
      </c>
      <c r="B300" t="s">
        <v>20</v>
      </c>
      <c r="C300">
        <v>34681.5</v>
      </c>
      <c r="D300">
        <v>3005334</v>
      </c>
    </row>
    <row r="301" spans="1:4" x14ac:dyDescent="0.3">
      <c r="A301" s="13">
        <v>43979</v>
      </c>
      <c r="B301" t="s">
        <v>20</v>
      </c>
      <c r="C301">
        <v>28197</v>
      </c>
      <c r="D301">
        <v>2559211.5</v>
      </c>
    </row>
    <row r="302" spans="1:4" x14ac:dyDescent="0.3">
      <c r="A302" s="13">
        <v>43967</v>
      </c>
      <c r="B302" t="s">
        <v>21</v>
      </c>
      <c r="C302">
        <v>236551.5</v>
      </c>
      <c r="D302">
        <v>23689383</v>
      </c>
    </row>
    <row r="303" spans="1:4" x14ac:dyDescent="0.3">
      <c r="A303" s="13">
        <v>43970</v>
      </c>
      <c r="B303" t="s">
        <v>21</v>
      </c>
      <c r="C303">
        <v>223597.5</v>
      </c>
      <c r="D303">
        <v>21945858</v>
      </c>
    </row>
    <row r="304" spans="1:4" x14ac:dyDescent="0.3">
      <c r="A304" s="13">
        <v>43968</v>
      </c>
      <c r="B304" t="s">
        <v>21</v>
      </c>
      <c r="C304">
        <v>193363.5</v>
      </c>
      <c r="D304">
        <v>19546386</v>
      </c>
    </row>
    <row r="305" spans="1:4" x14ac:dyDescent="0.3">
      <c r="A305" s="13">
        <v>43960</v>
      </c>
      <c r="B305" t="s">
        <v>21</v>
      </c>
      <c r="C305">
        <v>188319</v>
      </c>
      <c r="D305">
        <v>19218631.5</v>
      </c>
    </row>
    <row r="306" spans="1:4" x14ac:dyDescent="0.3">
      <c r="A306" s="13">
        <v>43955</v>
      </c>
      <c r="B306" t="s">
        <v>21</v>
      </c>
      <c r="C306">
        <v>237544.5</v>
      </c>
      <c r="D306">
        <v>24292218</v>
      </c>
    </row>
    <row r="307" spans="1:4" x14ac:dyDescent="0.3">
      <c r="A307" s="13">
        <v>43950</v>
      </c>
      <c r="B307" t="s">
        <v>22</v>
      </c>
      <c r="C307">
        <v>203209.5</v>
      </c>
      <c r="D307">
        <v>20871391.5</v>
      </c>
    </row>
    <row r="308" spans="1:4" x14ac:dyDescent="0.3">
      <c r="A308" s="13">
        <v>43953</v>
      </c>
      <c r="B308" t="s">
        <v>21</v>
      </c>
      <c r="C308">
        <v>185979</v>
      </c>
      <c r="D308">
        <v>19625364</v>
      </c>
    </row>
    <row r="309" spans="1:4" x14ac:dyDescent="0.3">
      <c r="A309" s="13">
        <v>43977</v>
      </c>
      <c r="B309" t="s">
        <v>21</v>
      </c>
      <c r="C309">
        <v>244905</v>
      </c>
      <c r="D309">
        <v>25163431.5</v>
      </c>
    </row>
    <row r="310" spans="1:4" x14ac:dyDescent="0.3">
      <c r="A310" s="13">
        <v>43952</v>
      </c>
      <c r="B310" t="s">
        <v>21</v>
      </c>
      <c r="C310">
        <v>239409</v>
      </c>
      <c r="D310">
        <v>25413351</v>
      </c>
    </row>
    <row r="311" spans="1:4" x14ac:dyDescent="0.3">
      <c r="A311" s="13">
        <v>43963</v>
      </c>
      <c r="B311" t="s">
        <v>21</v>
      </c>
      <c r="C311">
        <v>192886.5</v>
      </c>
      <c r="D311">
        <v>19205179.5</v>
      </c>
    </row>
    <row r="312" spans="1:4" x14ac:dyDescent="0.3">
      <c r="A312" s="13">
        <v>43972</v>
      </c>
      <c r="B312" t="s">
        <v>21</v>
      </c>
      <c r="C312">
        <v>224233.5</v>
      </c>
      <c r="D312">
        <v>22253295</v>
      </c>
    </row>
    <row r="313" spans="1:4" x14ac:dyDescent="0.3">
      <c r="A313" s="13">
        <v>43971</v>
      </c>
      <c r="B313" t="s">
        <v>21</v>
      </c>
      <c r="C313">
        <v>219622.5</v>
      </c>
      <c r="D313">
        <v>21959286</v>
      </c>
    </row>
    <row r="314" spans="1:4" x14ac:dyDescent="0.3">
      <c r="A314" s="13">
        <v>43956</v>
      </c>
      <c r="B314" t="s">
        <v>21</v>
      </c>
      <c r="C314">
        <v>213582</v>
      </c>
      <c r="D314">
        <v>21919435.5</v>
      </c>
    </row>
    <row r="315" spans="1:4" x14ac:dyDescent="0.3">
      <c r="A315" s="13">
        <v>43949</v>
      </c>
      <c r="B315" t="s">
        <v>22</v>
      </c>
      <c r="C315">
        <v>195705</v>
      </c>
      <c r="D315">
        <v>20003263.5</v>
      </c>
    </row>
    <row r="316" spans="1:4" x14ac:dyDescent="0.3">
      <c r="A316" s="13">
        <v>43964</v>
      </c>
      <c r="B316" t="s">
        <v>21</v>
      </c>
      <c r="C316">
        <v>193722</v>
      </c>
      <c r="D316">
        <v>19437273</v>
      </c>
    </row>
    <row r="317" spans="1:4" x14ac:dyDescent="0.3">
      <c r="A317" s="13">
        <v>43954</v>
      </c>
      <c r="B317" t="s">
        <v>21</v>
      </c>
      <c r="C317">
        <v>257215.5</v>
      </c>
      <c r="D317">
        <v>26492278.5</v>
      </c>
    </row>
    <row r="318" spans="1:4" x14ac:dyDescent="0.3">
      <c r="A318" s="13">
        <v>43957</v>
      </c>
      <c r="B318" t="s">
        <v>21</v>
      </c>
      <c r="C318">
        <v>224779.5</v>
      </c>
      <c r="D318">
        <v>23032992</v>
      </c>
    </row>
    <row r="319" spans="1:4" x14ac:dyDescent="0.3">
      <c r="A319" s="13">
        <v>43974</v>
      </c>
      <c r="B319" t="s">
        <v>21</v>
      </c>
      <c r="C319">
        <v>292018.5</v>
      </c>
      <c r="D319">
        <v>28590910.5</v>
      </c>
    </row>
    <row r="320" spans="1:4" x14ac:dyDescent="0.3">
      <c r="A320" s="13">
        <v>43976</v>
      </c>
      <c r="B320" t="s">
        <v>21</v>
      </c>
      <c r="C320">
        <v>198751.5</v>
      </c>
      <c r="D320">
        <v>20582743.5</v>
      </c>
    </row>
    <row r="321" spans="1:4" x14ac:dyDescent="0.3">
      <c r="A321" s="13">
        <v>43951</v>
      </c>
      <c r="B321" t="s">
        <v>21</v>
      </c>
      <c r="C321">
        <v>214386</v>
      </c>
      <c r="D321">
        <v>22530000</v>
      </c>
    </row>
    <row r="322" spans="1:4" x14ac:dyDescent="0.3">
      <c r="A322" s="13">
        <v>43961</v>
      </c>
      <c r="B322" t="s">
        <v>21</v>
      </c>
      <c r="C322">
        <v>243825</v>
      </c>
      <c r="D322">
        <v>24890404.5</v>
      </c>
    </row>
    <row r="323" spans="1:4" x14ac:dyDescent="0.3">
      <c r="A323" s="13">
        <v>43959</v>
      </c>
      <c r="B323" t="s">
        <v>21</v>
      </c>
      <c r="C323">
        <v>232701</v>
      </c>
      <c r="D323">
        <v>23881948.5</v>
      </c>
    </row>
    <row r="324" spans="1:4" x14ac:dyDescent="0.3">
      <c r="A324" s="13">
        <v>43958</v>
      </c>
      <c r="B324" t="s">
        <v>21</v>
      </c>
      <c r="C324">
        <v>219411</v>
      </c>
      <c r="D324">
        <v>22460130</v>
      </c>
    </row>
    <row r="325" spans="1:4" x14ac:dyDescent="0.3">
      <c r="A325" s="13">
        <v>43975</v>
      </c>
      <c r="B325" t="s">
        <v>21</v>
      </c>
      <c r="C325">
        <v>200029.5</v>
      </c>
      <c r="D325">
        <v>19959801</v>
      </c>
    </row>
    <row r="326" spans="1:4" x14ac:dyDescent="0.3">
      <c r="A326" s="13">
        <v>43967</v>
      </c>
      <c r="B326" t="s">
        <v>22</v>
      </c>
      <c r="C326">
        <v>225480</v>
      </c>
      <c r="D326">
        <v>22355338.5</v>
      </c>
    </row>
    <row r="327" spans="1:4" x14ac:dyDescent="0.3">
      <c r="A327" s="13">
        <v>43970</v>
      </c>
      <c r="B327" t="s">
        <v>22</v>
      </c>
      <c r="C327">
        <v>211453.5</v>
      </c>
      <c r="D327">
        <v>20590072.5</v>
      </c>
    </row>
    <row r="328" spans="1:4" x14ac:dyDescent="0.3">
      <c r="A328" s="13">
        <v>43968</v>
      </c>
      <c r="B328" t="s">
        <v>22</v>
      </c>
      <c r="C328">
        <v>184801.5</v>
      </c>
      <c r="D328">
        <v>18449091</v>
      </c>
    </row>
    <row r="329" spans="1:4" x14ac:dyDescent="0.3">
      <c r="A329" s="13">
        <v>43960</v>
      </c>
      <c r="B329" t="s">
        <v>22</v>
      </c>
      <c r="C329">
        <v>177976.5</v>
      </c>
      <c r="D329">
        <v>18085798.5</v>
      </c>
    </row>
    <row r="330" spans="1:4" x14ac:dyDescent="0.3">
      <c r="A330" s="13">
        <v>43955</v>
      </c>
      <c r="B330" t="s">
        <v>22</v>
      </c>
      <c r="C330">
        <v>223617</v>
      </c>
      <c r="D330">
        <v>22796827.5</v>
      </c>
    </row>
    <row r="331" spans="1:4" x14ac:dyDescent="0.3">
      <c r="A331" s="13">
        <v>43953</v>
      </c>
      <c r="B331" t="s">
        <v>22</v>
      </c>
      <c r="C331">
        <v>176397</v>
      </c>
      <c r="D331">
        <v>18625921.5</v>
      </c>
    </row>
    <row r="332" spans="1:4" x14ac:dyDescent="0.3">
      <c r="A332" s="13">
        <v>43977</v>
      </c>
      <c r="B332" t="s">
        <v>22</v>
      </c>
      <c r="C332">
        <v>232369.5</v>
      </c>
      <c r="D332">
        <v>23856345</v>
      </c>
    </row>
    <row r="333" spans="1:4" x14ac:dyDescent="0.3">
      <c r="A333" s="13">
        <v>43952</v>
      </c>
      <c r="B333" t="s">
        <v>22</v>
      </c>
      <c r="C333">
        <v>226540.5</v>
      </c>
      <c r="D333">
        <v>23953536</v>
      </c>
    </row>
    <row r="334" spans="1:4" x14ac:dyDescent="0.3">
      <c r="A334" s="13">
        <v>43963</v>
      </c>
      <c r="B334" t="s">
        <v>22</v>
      </c>
      <c r="C334">
        <v>189679.5</v>
      </c>
      <c r="D334">
        <v>18718036.5</v>
      </c>
    </row>
    <row r="335" spans="1:4" x14ac:dyDescent="0.3">
      <c r="A335" s="13">
        <v>43972</v>
      </c>
      <c r="B335" t="s">
        <v>22</v>
      </c>
      <c r="C335">
        <v>213640.5</v>
      </c>
      <c r="D335">
        <v>21042673.5</v>
      </c>
    </row>
    <row r="336" spans="1:4" x14ac:dyDescent="0.3">
      <c r="A336" s="13">
        <v>43971</v>
      </c>
      <c r="B336" t="s">
        <v>22</v>
      </c>
      <c r="C336">
        <v>214885.5</v>
      </c>
      <c r="D336">
        <v>21411349.5</v>
      </c>
    </row>
    <row r="337" spans="1:4" x14ac:dyDescent="0.3">
      <c r="A337" s="13">
        <v>43956</v>
      </c>
      <c r="B337" t="s">
        <v>22</v>
      </c>
      <c r="C337">
        <v>203832</v>
      </c>
      <c r="D337">
        <v>20880142.5</v>
      </c>
    </row>
    <row r="338" spans="1:4" x14ac:dyDescent="0.3">
      <c r="A338" s="13">
        <v>43964</v>
      </c>
      <c r="B338" t="s">
        <v>22</v>
      </c>
      <c r="C338">
        <v>188662.5</v>
      </c>
      <c r="D338">
        <v>18784000.5</v>
      </c>
    </row>
    <row r="339" spans="1:4" x14ac:dyDescent="0.3">
      <c r="A339" s="13">
        <v>43982</v>
      </c>
      <c r="B339" t="s">
        <v>21</v>
      </c>
      <c r="C339">
        <v>215277</v>
      </c>
      <c r="D339">
        <v>21585316.5</v>
      </c>
    </row>
    <row r="340" spans="1:4" x14ac:dyDescent="0.3">
      <c r="A340" s="13">
        <v>43954</v>
      </c>
      <c r="B340" t="s">
        <v>22</v>
      </c>
      <c r="C340">
        <v>248148</v>
      </c>
      <c r="D340">
        <v>25519072.5</v>
      </c>
    </row>
    <row r="341" spans="1:4" x14ac:dyDescent="0.3">
      <c r="A341" s="13">
        <v>43981</v>
      </c>
      <c r="B341" t="s">
        <v>21</v>
      </c>
      <c r="C341">
        <v>246414</v>
      </c>
      <c r="D341">
        <v>24527245.5</v>
      </c>
    </row>
    <row r="342" spans="1:4" x14ac:dyDescent="0.3">
      <c r="A342" s="13">
        <v>43957</v>
      </c>
      <c r="B342" t="s">
        <v>22</v>
      </c>
      <c r="C342">
        <v>216498</v>
      </c>
      <c r="D342">
        <v>22126444.5</v>
      </c>
    </row>
    <row r="343" spans="1:4" x14ac:dyDescent="0.3">
      <c r="A343" s="13">
        <v>43974</v>
      </c>
      <c r="B343" t="s">
        <v>22</v>
      </c>
      <c r="C343">
        <v>275793</v>
      </c>
      <c r="D343">
        <v>26806626</v>
      </c>
    </row>
    <row r="344" spans="1:4" x14ac:dyDescent="0.3">
      <c r="A344" s="13">
        <v>43979</v>
      </c>
      <c r="B344" t="s">
        <v>21</v>
      </c>
      <c r="C344">
        <v>199753.5</v>
      </c>
      <c r="D344">
        <v>20535733.5</v>
      </c>
    </row>
    <row r="345" spans="1:4" x14ac:dyDescent="0.3">
      <c r="A345" s="13">
        <v>43976</v>
      </c>
      <c r="B345" t="s">
        <v>22</v>
      </c>
      <c r="C345">
        <v>192948</v>
      </c>
      <c r="D345">
        <v>19806927</v>
      </c>
    </row>
    <row r="346" spans="1:4" x14ac:dyDescent="0.3">
      <c r="A346" s="13">
        <v>43951</v>
      </c>
      <c r="B346" t="s">
        <v>22</v>
      </c>
      <c r="C346">
        <v>206038.5</v>
      </c>
      <c r="D346">
        <v>21740460</v>
      </c>
    </row>
    <row r="347" spans="1:4" x14ac:dyDescent="0.3">
      <c r="A347" s="13">
        <v>43961</v>
      </c>
      <c r="B347" t="s">
        <v>22</v>
      </c>
      <c r="C347">
        <v>231559.5</v>
      </c>
      <c r="D347">
        <v>23443725</v>
      </c>
    </row>
    <row r="348" spans="1:4" x14ac:dyDescent="0.3">
      <c r="A348" s="13">
        <v>43959</v>
      </c>
      <c r="B348" t="s">
        <v>22</v>
      </c>
      <c r="C348">
        <v>225076.5</v>
      </c>
      <c r="D348">
        <v>22846078.5</v>
      </c>
    </row>
    <row r="349" spans="1:4" x14ac:dyDescent="0.3">
      <c r="A349" s="13">
        <v>43958</v>
      </c>
      <c r="B349" t="s">
        <v>22</v>
      </c>
      <c r="C349">
        <v>209415</v>
      </c>
      <c r="D349">
        <v>21463023</v>
      </c>
    </row>
    <row r="350" spans="1:4" x14ac:dyDescent="0.3">
      <c r="A350" s="13">
        <v>43975</v>
      </c>
      <c r="B350" t="s">
        <v>22</v>
      </c>
      <c r="C350">
        <v>193719</v>
      </c>
      <c r="D350">
        <v>19071117</v>
      </c>
    </row>
    <row r="351" spans="1:4" x14ac:dyDescent="0.3">
      <c r="A351" s="13">
        <v>43950</v>
      </c>
      <c r="B351" t="s">
        <v>23</v>
      </c>
      <c r="C351">
        <v>12250.5</v>
      </c>
      <c r="D351">
        <v>981519</v>
      </c>
    </row>
    <row r="352" spans="1:4" x14ac:dyDescent="0.3">
      <c r="A352" s="13">
        <v>43949</v>
      </c>
      <c r="B352" t="s">
        <v>23</v>
      </c>
      <c r="C352">
        <v>12541.5</v>
      </c>
      <c r="D352">
        <v>992541</v>
      </c>
    </row>
    <row r="353" spans="1:4" x14ac:dyDescent="0.3">
      <c r="A353" s="13">
        <v>43982</v>
      </c>
      <c r="B353" t="s">
        <v>22</v>
      </c>
      <c r="C353">
        <v>206758.5</v>
      </c>
      <c r="D353">
        <v>20717248.5</v>
      </c>
    </row>
    <row r="354" spans="1:4" x14ac:dyDescent="0.3">
      <c r="A354" s="13">
        <v>43981</v>
      </c>
      <c r="B354" t="s">
        <v>22</v>
      </c>
      <c r="C354">
        <v>244734</v>
      </c>
      <c r="D354">
        <v>24151980</v>
      </c>
    </row>
    <row r="355" spans="1:4" x14ac:dyDescent="0.3">
      <c r="A355" s="13">
        <v>43979</v>
      </c>
      <c r="B355" t="s">
        <v>22</v>
      </c>
      <c r="C355">
        <v>191641.5</v>
      </c>
      <c r="D355">
        <v>19549036.5</v>
      </c>
    </row>
    <row r="356" spans="1:4" x14ac:dyDescent="0.3">
      <c r="A356" s="13">
        <v>43967</v>
      </c>
      <c r="B356" t="s">
        <v>23</v>
      </c>
      <c r="C356">
        <v>16368</v>
      </c>
      <c r="D356">
        <v>1316350.5</v>
      </c>
    </row>
    <row r="357" spans="1:4" x14ac:dyDescent="0.3">
      <c r="A357" s="13">
        <v>43970</v>
      </c>
      <c r="B357" t="s">
        <v>23</v>
      </c>
      <c r="C357">
        <v>14427</v>
      </c>
      <c r="D357">
        <v>1126810.5</v>
      </c>
    </row>
    <row r="358" spans="1:4" x14ac:dyDescent="0.3">
      <c r="A358" s="13">
        <v>43968</v>
      </c>
      <c r="B358" t="s">
        <v>23</v>
      </c>
      <c r="C358">
        <v>13440</v>
      </c>
      <c r="D358">
        <v>1157529</v>
      </c>
    </row>
    <row r="359" spans="1:4" x14ac:dyDescent="0.3">
      <c r="A359" s="13">
        <v>43960</v>
      </c>
      <c r="B359" t="s">
        <v>23</v>
      </c>
      <c r="C359">
        <v>11745</v>
      </c>
      <c r="D359">
        <v>955801.5</v>
      </c>
    </row>
    <row r="360" spans="1:4" x14ac:dyDescent="0.3">
      <c r="A360" s="13">
        <v>43955</v>
      </c>
      <c r="B360" t="s">
        <v>23</v>
      </c>
      <c r="C360">
        <v>11062.5</v>
      </c>
      <c r="D360">
        <v>906343.5</v>
      </c>
    </row>
    <row r="361" spans="1:4" x14ac:dyDescent="0.3">
      <c r="A361" s="13">
        <v>43953</v>
      </c>
      <c r="B361" t="s">
        <v>23</v>
      </c>
      <c r="C361">
        <v>10018.5</v>
      </c>
      <c r="D361">
        <v>816859.5</v>
      </c>
    </row>
    <row r="362" spans="1:4" x14ac:dyDescent="0.3">
      <c r="A362" s="13">
        <v>43977</v>
      </c>
      <c r="B362" t="s">
        <v>24</v>
      </c>
      <c r="C362">
        <v>10437</v>
      </c>
      <c r="D362">
        <v>833815.5</v>
      </c>
    </row>
    <row r="363" spans="1:4" x14ac:dyDescent="0.3">
      <c r="A363" s="13">
        <v>43952</v>
      </c>
      <c r="B363" t="s">
        <v>23</v>
      </c>
      <c r="C363">
        <v>13644</v>
      </c>
      <c r="D363">
        <v>1134444</v>
      </c>
    </row>
    <row r="364" spans="1:4" x14ac:dyDescent="0.3">
      <c r="A364" s="13">
        <v>43963</v>
      </c>
      <c r="B364" t="s">
        <v>23</v>
      </c>
      <c r="C364">
        <v>13443</v>
      </c>
      <c r="D364">
        <v>1092277.5</v>
      </c>
    </row>
    <row r="365" spans="1:4" x14ac:dyDescent="0.3">
      <c r="A365" s="13">
        <v>43972</v>
      </c>
      <c r="B365" t="s">
        <v>23</v>
      </c>
      <c r="C365">
        <v>14182.5</v>
      </c>
      <c r="D365">
        <v>1172574</v>
      </c>
    </row>
    <row r="366" spans="1:4" x14ac:dyDescent="0.3">
      <c r="A366" s="13">
        <v>43971</v>
      </c>
      <c r="B366" t="s">
        <v>23</v>
      </c>
      <c r="C366">
        <v>14928</v>
      </c>
      <c r="D366">
        <v>1217749.5</v>
      </c>
    </row>
    <row r="367" spans="1:4" x14ac:dyDescent="0.3">
      <c r="A367" s="13">
        <v>43956</v>
      </c>
      <c r="B367" t="s">
        <v>23</v>
      </c>
      <c r="C367">
        <v>13941</v>
      </c>
      <c r="D367">
        <v>1145575.5</v>
      </c>
    </row>
    <row r="368" spans="1:4" x14ac:dyDescent="0.3">
      <c r="A368" s="13">
        <v>43964</v>
      </c>
      <c r="B368" t="s">
        <v>23</v>
      </c>
      <c r="C368">
        <v>14643</v>
      </c>
      <c r="D368">
        <v>1172691</v>
      </c>
    </row>
    <row r="369" spans="1:4" x14ac:dyDescent="0.3">
      <c r="A369" s="13">
        <v>43954</v>
      </c>
      <c r="B369" t="s">
        <v>23</v>
      </c>
      <c r="C369">
        <v>10032</v>
      </c>
      <c r="D369">
        <v>816150</v>
      </c>
    </row>
    <row r="370" spans="1:4" x14ac:dyDescent="0.3">
      <c r="A370" s="13">
        <v>43957</v>
      </c>
      <c r="B370" t="s">
        <v>23</v>
      </c>
      <c r="C370">
        <v>12468</v>
      </c>
      <c r="D370">
        <v>1016566.5</v>
      </c>
    </row>
    <row r="371" spans="1:4" x14ac:dyDescent="0.3">
      <c r="A371" s="13">
        <v>43974</v>
      </c>
      <c r="B371" t="s">
        <v>23</v>
      </c>
      <c r="C371">
        <v>17943</v>
      </c>
      <c r="D371">
        <v>1457391</v>
      </c>
    </row>
    <row r="372" spans="1:4" x14ac:dyDescent="0.3">
      <c r="A372" s="13">
        <v>43976</v>
      </c>
      <c r="B372" t="s">
        <v>23</v>
      </c>
      <c r="C372">
        <v>15807</v>
      </c>
      <c r="D372">
        <v>1326705</v>
      </c>
    </row>
    <row r="373" spans="1:4" x14ac:dyDescent="0.3">
      <c r="A373" s="13">
        <v>43951</v>
      </c>
      <c r="B373" t="s">
        <v>23</v>
      </c>
      <c r="C373">
        <v>11976</v>
      </c>
      <c r="D373">
        <v>1004511</v>
      </c>
    </row>
    <row r="374" spans="1:4" x14ac:dyDescent="0.3">
      <c r="A374" s="13">
        <v>43961</v>
      </c>
      <c r="B374" t="s">
        <v>23</v>
      </c>
      <c r="C374">
        <v>14566.5</v>
      </c>
      <c r="D374">
        <v>1216557</v>
      </c>
    </row>
    <row r="375" spans="1:4" x14ac:dyDescent="0.3">
      <c r="A375" s="13">
        <v>43959</v>
      </c>
      <c r="B375" t="s">
        <v>23</v>
      </c>
      <c r="C375">
        <v>12976.5</v>
      </c>
      <c r="D375">
        <v>1046848.5</v>
      </c>
    </row>
    <row r="376" spans="1:4" x14ac:dyDescent="0.3">
      <c r="A376" s="13">
        <v>43958</v>
      </c>
      <c r="B376" t="s">
        <v>23</v>
      </c>
      <c r="C376">
        <v>11719.5</v>
      </c>
      <c r="D376">
        <v>965880</v>
      </c>
    </row>
    <row r="377" spans="1:4" x14ac:dyDescent="0.3">
      <c r="A377" s="13">
        <v>43975</v>
      </c>
      <c r="B377" t="s">
        <v>23</v>
      </c>
      <c r="C377">
        <v>17197.5</v>
      </c>
      <c r="D377">
        <v>1386262.5</v>
      </c>
    </row>
    <row r="378" spans="1:4" x14ac:dyDescent="0.3">
      <c r="A378" s="13">
        <v>43977</v>
      </c>
      <c r="B378" t="s">
        <v>23</v>
      </c>
      <c r="C378">
        <v>14419.5</v>
      </c>
      <c r="D378">
        <v>1210456.5</v>
      </c>
    </row>
    <row r="379" spans="1:4" x14ac:dyDescent="0.3">
      <c r="A379" s="13">
        <v>43983</v>
      </c>
      <c r="B379" t="s">
        <v>9</v>
      </c>
      <c r="C379">
        <v>7816.5</v>
      </c>
      <c r="D379">
        <v>636345</v>
      </c>
    </row>
    <row r="380" spans="1:4" x14ac:dyDescent="0.3">
      <c r="A380" s="13">
        <v>43982</v>
      </c>
      <c r="B380" t="s">
        <v>25</v>
      </c>
      <c r="C380">
        <v>6409.5</v>
      </c>
      <c r="D380">
        <v>493893</v>
      </c>
    </row>
    <row r="381" spans="1:4" x14ac:dyDescent="0.3">
      <c r="A381" s="13">
        <v>43981</v>
      </c>
      <c r="B381" t="s">
        <v>24</v>
      </c>
      <c r="C381">
        <v>11220</v>
      </c>
      <c r="D381">
        <v>928675.5</v>
      </c>
    </row>
    <row r="382" spans="1:4" x14ac:dyDescent="0.3">
      <c r="A382" s="13">
        <v>43980</v>
      </c>
      <c r="B382" t="s">
        <v>9</v>
      </c>
      <c r="C382">
        <v>8350.5</v>
      </c>
      <c r="D382">
        <v>651237</v>
      </c>
    </row>
    <row r="383" spans="1:4" x14ac:dyDescent="0.3">
      <c r="A383" s="13">
        <v>43979</v>
      </c>
      <c r="B383" t="s">
        <v>24</v>
      </c>
      <c r="C383">
        <v>8428.5</v>
      </c>
      <c r="D383">
        <v>694669.5</v>
      </c>
    </row>
    <row r="384" spans="1:4" x14ac:dyDescent="0.3">
      <c r="A384" s="13">
        <v>43978</v>
      </c>
      <c r="B384" t="s">
        <v>10</v>
      </c>
      <c r="C384">
        <v>32817</v>
      </c>
      <c r="D384">
        <v>3015751.5</v>
      </c>
    </row>
    <row r="385" spans="1:4" x14ac:dyDescent="0.3">
      <c r="A385" s="13">
        <v>43973</v>
      </c>
      <c r="B385" t="s">
        <v>10</v>
      </c>
      <c r="C385">
        <v>36031.5</v>
      </c>
      <c r="D385">
        <v>3091069.5</v>
      </c>
    </row>
    <row r="386" spans="1:4" x14ac:dyDescent="0.3">
      <c r="A386" s="13">
        <v>43982</v>
      </c>
      <c r="B386" t="s">
        <v>26</v>
      </c>
      <c r="C386">
        <v>5127</v>
      </c>
      <c r="D386">
        <v>468835.5</v>
      </c>
    </row>
    <row r="387" spans="1:4" x14ac:dyDescent="0.3">
      <c r="A387" s="13">
        <v>43962</v>
      </c>
      <c r="B387" t="s">
        <v>10</v>
      </c>
      <c r="C387">
        <v>27187.5</v>
      </c>
      <c r="D387">
        <v>2479396.5</v>
      </c>
    </row>
    <row r="388" spans="1:4" x14ac:dyDescent="0.3">
      <c r="A388" s="13">
        <v>43981</v>
      </c>
      <c r="B388" t="s">
        <v>23</v>
      </c>
      <c r="C388">
        <v>20688</v>
      </c>
      <c r="D388">
        <v>1773154.5</v>
      </c>
    </row>
    <row r="389" spans="1:4" x14ac:dyDescent="0.3">
      <c r="A389" s="13">
        <v>43979</v>
      </c>
      <c r="B389" t="s">
        <v>23</v>
      </c>
      <c r="C389">
        <v>15678</v>
      </c>
      <c r="D389">
        <v>1387443</v>
      </c>
    </row>
    <row r="390" spans="1:4" x14ac:dyDescent="0.3">
      <c r="A390" s="13">
        <v>43969</v>
      </c>
      <c r="B390" t="s">
        <v>10</v>
      </c>
      <c r="C390">
        <v>31329</v>
      </c>
      <c r="D390">
        <v>2826379.5</v>
      </c>
    </row>
    <row r="391" spans="1:4" x14ac:dyDescent="0.3">
      <c r="A391" s="13">
        <v>43965</v>
      </c>
      <c r="B391" t="s">
        <v>10</v>
      </c>
      <c r="C391">
        <v>29658</v>
      </c>
      <c r="D391">
        <v>2703132</v>
      </c>
    </row>
    <row r="392" spans="1:4" x14ac:dyDescent="0.3">
      <c r="A392" s="13">
        <v>43966</v>
      </c>
      <c r="B392" t="s">
        <v>10</v>
      </c>
      <c r="C392">
        <v>34150.5</v>
      </c>
      <c r="D392">
        <v>3038293.5</v>
      </c>
    </row>
    <row r="393" spans="1:4" x14ac:dyDescent="0.3">
      <c r="A393" s="13">
        <v>43983</v>
      </c>
      <c r="B393" t="s">
        <v>10</v>
      </c>
      <c r="C393">
        <v>31947</v>
      </c>
      <c r="D393">
        <v>2945035.5</v>
      </c>
    </row>
    <row r="394" spans="1:4" x14ac:dyDescent="0.3">
      <c r="A394" s="13">
        <v>43982</v>
      </c>
      <c r="B394" t="s">
        <v>24</v>
      </c>
      <c r="C394">
        <v>10416</v>
      </c>
      <c r="D394">
        <v>866023.5</v>
      </c>
    </row>
    <row r="395" spans="1:4" x14ac:dyDescent="0.3">
      <c r="A395" s="13">
        <v>43980</v>
      </c>
      <c r="B395" t="s">
        <v>10</v>
      </c>
      <c r="C395">
        <v>35431.5</v>
      </c>
      <c r="D395">
        <v>3193167</v>
      </c>
    </row>
    <row r="396" spans="1:4" x14ac:dyDescent="0.3">
      <c r="A396" s="13">
        <v>43978</v>
      </c>
      <c r="B396" t="s">
        <v>11</v>
      </c>
      <c r="C396">
        <v>78544.5</v>
      </c>
      <c r="D396">
        <v>6701083.5</v>
      </c>
    </row>
    <row r="397" spans="1:4" x14ac:dyDescent="0.3">
      <c r="A397" s="13">
        <v>43973</v>
      </c>
      <c r="B397" t="s">
        <v>11</v>
      </c>
      <c r="C397">
        <v>97963.5</v>
      </c>
      <c r="D397">
        <v>7728465</v>
      </c>
    </row>
    <row r="398" spans="1:4" x14ac:dyDescent="0.3">
      <c r="A398" s="13">
        <v>43983</v>
      </c>
      <c r="B398" t="s">
        <v>11</v>
      </c>
      <c r="C398">
        <v>77269.5</v>
      </c>
      <c r="D398">
        <v>6829921.5</v>
      </c>
    </row>
    <row r="399" spans="1:4" x14ac:dyDescent="0.3">
      <c r="A399" s="13">
        <v>43982</v>
      </c>
      <c r="B399" t="s">
        <v>23</v>
      </c>
      <c r="C399">
        <v>16143</v>
      </c>
      <c r="D399">
        <v>1423410</v>
      </c>
    </row>
    <row r="400" spans="1:4" x14ac:dyDescent="0.3">
      <c r="A400" s="13">
        <v>43962</v>
      </c>
      <c r="B400" t="s">
        <v>11</v>
      </c>
      <c r="C400">
        <v>72220.5</v>
      </c>
      <c r="D400">
        <v>6398719.5</v>
      </c>
    </row>
    <row r="401" spans="1:4" x14ac:dyDescent="0.3">
      <c r="A401" s="13">
        <v>43969</v>
      </c>
      <c r="B401" t="s">
        <v>11</v>
      </c>
      <c r="C401">
        <v>78058.5</v>
      </c>
      <c r="D401">
        <v>6609714</v>
      </c>
    </row>
    <row r="402" spans="1:4" x14ac:dyDescent="0.3">
      <c r="A402" s="13">
        <v>43965</v>
      </c>
      <c r="B402" t="s">
        <v>11</v>
      </c>
      <c r="C402">
        <v>70498.5</v>
      </c>
      <c r="D402">
        <v>6053649</v>
      </c>
    </row>
    <row r="403" spans="1:4" x14ac:dyDescent="0.3">
      <c r="A403" s="13">
        <v>43966</v>
      </c>
      <c r="B403" t="s">
        <v>11</v>
      </c>
      <c r="C403">
        <v>78961.5</v>
      </c>
      <c r="D403">
        <v>6876454.5</v>
      </c>
    </row>
    <row r="404" spans="1:4" x14ac:dyDescent="0.3">
      <c r="A404" s="13">
        <v>43978</v>
      </c>
      <c r="B404" t="s">
        <v>12</v>
      </c>
      <c r="C404">
        <v>12490.5</v>
      </c>
      <c r="D404">
        <v>1054798.5</v>
      </c>
    </row>
    <row r="405" spans="1:4" x14ac:dyDescent="0.3">
      <c r="A405" s="13">
        <v>43973</v>
      </c>
      <c r="B405" t="s">
        <v>12</v>
      </c>
      <c r="C405">
        <v>18036</v>
      </c>
      <c r="D405">
        <v>1455049.5</v>
      </c>
    </row>
    <row r="406" spans="1:4" x14ac:dyDescent="0.3">
      <c r="A406" s="13">
        <v>43983</v>
      </c>
      <c r="B406" t="s">
        <v>12</v>
      </c>
      <c r="C406">
        <v>11416.5</v>
      </c>
      <c r="D406">
        <v>1007742</v>
      </c>
    </row>
    <row r="407" spans="1:4" x14ac:dyDescent="0.3">
      <c r="A407" s="13">
        <v>43962</v>
      </c>
      <c r="B407" t="s">
        <v>12</v>
      </c>
      <c r="C407">
        <v>9007.5</v>
      </c>
      <c r="D407">
        <v>734335.5</v>
      </c>
    </row>
    <row r="408" spans="1:4" x14ac:dyDescent="0.3">
      <c r="A408" s="13">
        <v>43980</v>
      </c>
      <c r="B408" t="s">
        <v>11</v>
      </c>
      <c r="C408">
        <v>87552</v>
      </c>
      <c r="D408">
        <v>7387116</v>
      </c>
    </row>
    <row r="409" spans="1:4" x14ac:dyDescent="0.3">
      <c r="A409" s="13">
        <v>43969</v>
      </c>
      <c r="B409" t="s">
        <v>12</v>
      </c>
      <c r="C409">
        <v>11680.5</v>
      </c>
      <c r="D409">
        <v>936427.5</v>
      </c>
    </row>
    <row r="410" spans="1:4" x14ac:dyDescent="0.3">
      <c r="A410" s="13">
        <v>43965</v>
      </c>
      <c r="B410" t="s">
        <v>12</v>
      </c>
      <c r="C410">
        <v>12037.5</v>
      </c>
      <c r="D410">
        <v>981564</v>
      </c>
    </row>
    <row r="411" spans="1:4" x14ac:dyDescent="0.3">
      <c r="A411" s="13">
        <v>43966</v>
      </c>
      <c r="B411" t="s">
        <v>12</v>
      </c>
      <c r="C411">
        <v>14421</v>
      </c>
      <c r="D411">
        <v>1150579.5</v>
      </c>
    </row>
    <row r="412" spans="1:4" x14ac:dyDescent="0.3">
      <c r="A412" s="13">
        <v>43980</v>
      </c>
      <c r="B412" t="s">
        <v>12</v>
      </c>
      <c r="C412">
        <v>14823</v>
      </c>
      <c r="D412">
        <v>1273464</v>
      </c>
    </row>
    <row r="413" spans="1:4" x14ac:dyDescent="0.3">
      <c r="A413" s="13">
        <v>43978</v>
      </c>
      <c r="B413" t="s">
        <v>13</v>
      </c>
      <c r="C413">
        <v>31257</v>
      </c>
      <c r="D413">
        <v>2924133</v>
      </c>
    </row>
    <row r="414" spans="1:4" x14ac:dyDescent="0.3">
      <c r="A414" s="13">
        <v>43973</v>
      </c>
      <c r="B414" t="s">
        <v>13</v>
      </c>
      <c r="C414">
        <v>38074.5</v>
      </c>
      <c r="D414">
        <v>3414180</v>
      </c>
    </row>
    <row r="415" spans="1:4" x14ac:dyDescent="0.3">
      <c r="A415" s="13">
        <v>43983</v>
      </c>
      <c r="B415" t="s">
        <v>13</v>
      </c>
      <c r="C415">
        <v>32170.5</v>
      </c>
      <c r="D415">
        <v>3013512</v>
      </c>
    </row>
    <row r="416" spans="1:4" x14ac:dyDescent="0.3">
      <c r="A416" s="13">
        <v>43962</v>
      </c>
      <c r="B416" t="s">
        <v>13</v>
      </c>
      <c r="C416">
        <v>42397.5</v>
      </c>
      <c r="D416">
        <v>3911979</v>
      </c>
    </row>
    <row r="417" spans="1:4" x14ac:dyDescent="0.3">
      <c r="A417" s="13">
        <v>43969</v>
      </c>
      <c r="B417" t="s">
        <v>13</v>
      </c>
      <c r="C417">
        <v>28668</v>
      </c>
      <c r="D417">
        <v>2588148</v>
      </c>
    </row>
    <row r="418" spans="1:4" x14ac:dyDescent="0.3">
      <c r="A418" s="13">
        <v>43965</v>
      </c>
      <c r="B418" t="s">
        <v>13</v>
      </c>
      <c r="C418">
        <v>27411</v>
      </c>
      <c r="D418">
        <v>2441520</v>
      </c>
    </row>
    <row r="419" spans="1:4" x14ac:dyDescent="0.3">
      <c r="A419" s="13">
        <v>43966</v>
      </c>
      <c r="B419" t="s">
        <v>13</v>
      </c>
      <c r="C419">
        <v>32854.5</v>
      </c>
      <c r="D419">
        <v>2949078</v>
      </c>
    </row>
    <row r="420" spans="1:4" x14ac:dyDescent="0.3">
      <c r="A420" s="13">
        <v>43980</v>
      </c>
      <c r="B420" t="s">
        <v>13</v>
      </c>
      <c r="C420">
        <v>35346</v>
      </c>
      <c r="D420">
        <v>3258054</v>
      </c>
    </row>
    <row r="421" spans="1:4" x14ac:dyDescent="0.3">
      <c r="A421" s="13">
        <v>43978</v>
      </c>
      <c r="B421" t="s">
        <v>14</v>
      </c>
      <c r="C421">
        <v>286558.5</v>
      </c>
      <c r="D421">
        <v>29256993</v>
      </c>
    </row>
    <row r="422" spans="1:4" x14ac:dyDescent="0.3">
      <c r="A422" s="13">
        <v>43973</v>
      </c>
      <c r="B422" t="s">
        <v>14</v>
      </c>
      <c r="C422">
        <v>304092</v>
      </c>
      <c r="D422">
        <v>29465769</v>
      </c>
    </row>
    <row r="423" spans="1:4" x14ac:dyDescent="0.3">
      <c r="A423" s="13">
        <v>43983</v>
      </c>
      <c r="B423" t="s">
        <v>14</v>
      </c>
      <c r="C423">
        <v>272926.5</v>
      </c>
      <c r="D423">
        <v>27770092.5</v>
      </c>
    </row>
    <row r="424" spans="1:4" x14ac:dyDescent="0.3">
      <c r="A424" s="13">
        <v>43962</v>
      </c>
      <c r="B424" t="s">
        <v>14</v>
      </c>
      <c r="C424">
        <v>237099</v>
      </c>
      <c r="D424">
        <v>24628233.223949999</v>
      </c>
    </row>
    <row r="425" spans="1:4" x14ac:dyDescent="0.3">
      <c r="A425" s="13">
        <v>43969</v>
      </c>
      <c r="B425" t="s">
        <v>14</v>
      </c>
      <c r="C425">
        <v>273900</v>
      </c>
      <c r="D425">
        <v>27535284.147600003</v>
      </c>
    </row>
    <row r="426" spans="1:4" x14ac:dyDescent="0.3">
      <c r="A426" s="13">
        <v>43965</v>
      </c>
      <c r="B426" t="s">
        <v>14</v>
      </c>
      <c r="C426">
        <v>274059</v>
      </c>
      <c r="D426">
        <v>28181292</v>
      </c>
    </row>
    <row r="427" spans="1:4" x14ac:dyDescent="0.3">
      <c r="A427" s="13">
        <v>43966</v>
      </c>
      <c r="B427" t="s">
        <v>14</v>
      </c>
      <c r="C427">
        <v>318816</v>
      </c>
      <c r="D427">
        <v>32354331</v>
      </c>
    </row>
    <row r="428" spans="1:4" x14ac:dyDescent="0.3">
      <c r="A428" s="13">
        <v>43978</v>
      </c>
      <c r="B428" t="s">
        <v>15</v>
      </c>
      <c r="C428">
        <v>370012.5</v>
      </c>
      <c r="D428">
        <v>39034861.5</v>
      </c>
    </row>
    <row r="429" spans="1:4" x14ac:dyDescent="0.3">
      <c r="A429" s="13">
        <v>43973</v>
      </c>
      <c r="B429" t="s">
        <v>15</v>
      </c>
      <c r="C429">
        <v>393018</v>
      </c>
      <c r="D429">
        <v>39498373.5</v>
      </c>
    </row>
    <row r="430" spans="1:4" x14ac:dyDescent="0.3">
      <c r="A430" s="13">
        <v>43983</v>
      </c>
      <c r="B430" t="s">
        <v>15</v>
      </c>
      <c r="C430">
        <v>349699.5</v>
      </c>
      <c r="D430">
        <v>37257840.18135</v>
      </c>
    </row>
    <row r="431" spans="1:4" x14ac:dyDescent="0.3">
      <c r="A431" s="13">
        <v>43962</v>
      </c>
      <c r="B431" t="s">
        <v>15</v>
      </c>
      <c r="C431">
        <v>318565.5</v>
      </c>
      <c r="D431">
        <v>33781581</v>
      </c>
    </row>
    <row r="432" spans="1:4" x14ac:dyDescent="0.3">
      <c r="A432" s="13">
        <v>43980</v>
      </c>
      <c r="B432" t="s">
        <v>14</v>
      </c>
      <c r="C432">
        <v>422965.5</v>
      </c>
      <c r="D432">
        <v>41767140.105000004</v>
      </c>
    </row>
    <row r="433" spans="1:4" x14ac:dyDescent="0.3">
      <c r="A433" s="13">
        <v>43969</v>
      </c>
      <c r="B433" t="s">
        <v>15</v>
      </c>
      <c r="C433">
        <v>355081.5</v>
      </c>
      <c r="D433">
        <v>36876888</v>
      </c>
    </row>
    <row r="434" spans="1:4" x14ac:dyDescent="0.3">
      <c r="A434" s="13">
        <v>43965</v>
      </c>
      <c r="B434" t="s">
        <v>15</v>
      </c>
      <c r="C434">
        <v>358387.5</v>
      </c>
      <c r="D434">
        <v>37963150.5</v>
      </c>
    </row>
    <row r="435" spans="1:4" x14ac:dyDescent="0.3">
      <c r="A435" s="13">
        <v>43966</v>
      </c>
      <c r="B435" t="s">
        <v>15</v>
      </c>
      <c r="C435">
        <v>403261.5</v>
      </c>
      <c r="D435">
        <v>42271377</v>
      </c>
    </row>
    <row r="436" spans="1:4" x14ac:dyDescent="0.3">
      <c r="A436" s="13">
        <v>43978</v>
      </c>
      <c r="B436" t="s">
        <v>16</v>
      </c>
      <c r="C436">
        <v>69010.5</v>
      </c>
      <c r="D436">
        <v>5985894</v>
      </c>
    </row>
    <row r="437" spans="1:4" x14ac:dyDescent="0.3">
      <c r="A437" s="13">
        <v>43973</v>
      </c>
      <c r="B437" t="s">
        <v>16</v>
      </c>
      <c r="C437">
        <v>75820.5</v>
      </c>
      <c r="D437">
        <v>5943489</v>
      </c>
    </row>
    <row r="438" spans="1:4" x14ac:dyDescent="0.3">
      <c r="A438" s="13">
        <v>43983</v>
      </c>
      <c r="B438" t="s">
        <v>16</v>
      </c>
      <c r="C438">
        <v>64740</v>
      </c>
      <c r="D438">
        <v>5800290</v>
      </c>
    </row>
    <row r="439" spans="1:4" x14ac:dyDescent="0.3">
      <c r="A439" s="13">
        <v>43962</v>
      </c>
      <c r="B439" t="s">
        <v>16</v>
      </c>
      <c r="C439">
        <v>59574</v>
      </c>
      <c r="D439">
        <v>5178169.5</v>
      </c>
    </row>
    <row r="440" spans="1:4" x14ac:dyDescent="0.3">
      <c r="A440" s="13">
        <v>43980</v>
      </c>
      <c r="B440" t="s">
        <v>15</v>
      </c>
      <c r="C440">
        <v>524481</v>
      </c>
      <c r="D440">
        <v>54172029</v>
      </c>
    </row>
    <row r="441" spans="1:4" x14ac:dyDescent="0.3">
      <c r="A441" s="13">
        <v>43969</v>
      </c>
      <c r="B441" t="s">
        <v>16</v>
      </c>
      <c r="C441">
        <v>70278</v>
      </c>
      <c r="D441">
        <v>5798476.5</v>
      </c>
    </row>
    <row r="442" spans="1:4" x14ac:dyDescent="0.3">
      <c r="A442" s="13">
        <v>43965</v>
      </c>
      <c r="B442" t="s">
        <v>16</v>
      </c>
      <c r="C442">
        <v>63645</v>
      </c>
      <c r="D442">
        <v>5366602.5</v>
      </c>
    </row>
    <row r="443" spans="1:4" x14ac:dyDescent="0.3">
      <c r="A443" s="13">
        <v>43966</v>
      </c>
      <c r="B443" t="s">
        <v>16</v>
      </c>
      <c r="C443">
        <v>75642</v>
      </c>
      <c r="D443">
        <v>6293952</v>
      </c>
    </row>
    <row r="444" spans="1:4" x14ac:dyDescent="0.3">
      <c r="A444" s="13">
        <v>43978</v>
      </c>
      <c r="B444" t="s">
        <v>17</v>
      </c>
      <c r="C444">
        <v>40420.5</v>
      </c>
      <c r="D444">
        <v>3780852</v>
      </c>
    </row>
    <row r="445" spans="1:4" x14ac:dyDescent="0.3">
      <c r="A445" s="13">
        <v>43973</v>
      </c>
      <c r="B445" t="s">
        <v>17</v>
      </c>
      <c r="C445">
        <v>53838</v>
      </c>
      <c r="D445">
        <v>4840833</v>
      </c>
    </row>
    <row r="446" spans="1:4" x14ac:dyDescent="0.3">
      <c r="A446" s="13">
        <v>43983</v>
      </c>
      <c r="B446" t="s">
        <v>17</v>
      </c>
      <c r="C446">
        <v>40528.5</v>
      </c>
      <c r="D446">
        <v>3865251</v>
      </c>
    </row>
    <row r="447" spans="1:4" x14ac:dyDescent="0.3">
      <c r="A447" s="13">
        <v>43962</v>
      </c>
      <c r="B447" t="s">
        <v>17</v>
      </c>
      <c r="C447">
        <v>32733</v>
      </c>
      <c r="D447">
        <v>3079630.5</v>
      </c>
    </row>
    <row r="448" spans="1:4" x14ac:dyDescent="0.3">
      <c r="A448" s="13">
        <v>43980</v>
      </c>
      <c r="B448" t="s">
        <v>16</v>
      </c>
      <c r="C448">
        <v>84433.5</v>
      </c>
      <c r="D448">
        <v>7228395</v>
      </c>
    </row>
    <row r="449" spans="1:4" x14ac:dyDescent="0.3">
      <c r="A449" s="13">
        <v>43969</v>
      </c>
      <c r="B449" t="s">
        <v>17</v>
      </c>
      <c r="C449">
        <v>36655.5</v>
      </c>
      <c r="D449">
        <v>3360135</v>
      </c>
    </row>
    <row r="450" spans="1:4" x14ac:dyDescent="0.3">
      <c r="A450" s="13">
        <v>43965</v>
      </c>
      <c r="B450" t="s">
        <v>17</v>
      </c>
      <c r="C450">
        <v>33886.5</v>
      </c>
      <c r="D450">
        <v>3166479</v>
      </c>
    </row>
    <row r="451" spans="1:4" x14ac:dyDescent="0.3">
      <c r="A451" s="13">
        <v>43966</v>
      </c>
      <c r="B451" t="s">
        <v>17</v>
      </c>
      <c r="C451">
        <v>41697</v>
      </c>
      <c r="D451">
        <v>3772258.5</v>
      </c>
    </row>
    <row r="452" spans="1:4" x14ac:dyDescent="0.3">
      <c r="A452" s="13">
        <v>43980</v>
      </c>
      <c r="B452" t="s">
        <v>17</v>
      </c>
      <c r="C452">
        <v>44569.5</v>
      </c>
      <c r="D452">
        <v>4108596</v>
      </c>
    </row>
    <row r="453" spans="1:4" x14ac:dyDescent="0.3">
      <c r="A453" s="13">
        <v>43978</v>
      </c>
      <c r="B453" t="s">
        <v>18</v>
      </c>
      <c r="C453">
        <v>18069</v>
      </c>
      <c r="D453">
        <v>1603084.5</v>
      </c>
    </row>
    <row r="454" spans="1:4" x14ac:dyDescent="0.3">
      <c r="A454" s="13">
        <v>43973</v>
      </c>
      <c r="B454" t="s">
        <v>18</v>
      </c>
      <c r="C454">
        <v>21483</v>
      </c>
      <c r="D454">
        <v>1774329</v>
      </c>
    </row>
    <row r="455" spans="1:4" x14ac:dyDescent="0.3">
      <c r="A455" s="13">
        <v>43983</v>
      </c>
      <c r="B455" t="s">
        <v>18</v>
      </c>
      <c r="C455">
        <v>16687.5</v>
      </c>
      <c r="D455">
        <v>1526608.5</v>
      </c>
    </row>
    <row r="456" spans="1:4" x14ac:dyDescent="0.3">
      <c r="A456" s="13">
        <v>43962</v>
      </c>
      <c r="B456" t="s">
        <v>18</v>
      </c>
      <c r="C456">
        <v>12238.5</v>
      </c>
      <c r="D456">
        <v>1096002</v>
      </c>
    </row>
    <row r="457" spans="1:4" x14ac:dyDescent="0.3">
      <c r="A457" s="13">
        <v>43969</v>
      </c>
      <c r="B457" t="s">
        <v>18</v>
      </c>
      <c r="C457">
        <v>14290.5</v>
      </c>
      <c r="D457">
        <v>1246162.5</v>
      </c>
    </row>
    <row r="458" spans="1:4" x14ac:dyDescent="0.3">
      <c r="A458" s="13">
        <v>43965</v>
      </c>
      <c r="B458" t="s">
        <v>18</v>
      </c>
      <c r="C458">
        <v>14385</v>
      </c>
      <c r="D458">
        <v>1223491.5</v>
      </c>
    </row>
    <row r="459" spans="1:4" x14ac:dyDescent="0.3">
      <c r="A459" s="13">
        <v>43966</v>
      </c>
      <c r="B459" t="s">
        <v>18</v>
      </c>
      <c r="C459">
        <v>16498.5</v>
      </c>
      <c r="D459">
        <v>1370482.5</v>
      </c>
    </row>
    <row r="460" spans="1:4" x14ac:dyDescent="0.3">
      <c r="A460" s="13">
        <v>43978</v>
      </c>
      <c r="B460" t="s">
        <v>19</v>
      </c>
      <c r="C460">
        <v>13203</v>
      </c>
      <c r="D460">
        <v>1211457</v>
      </c>
    </row>
    <row r="461" spans="1:4" x14ac:dyDescent="0.3">
      <c r="A461" s="13">
        <v>43973</v>
      </c>
      <c r="B461" t="s">
        <v>19</v>
      </c>
      <c r="C461">
        <v>15802.5</v>
      </c>
      <c r="D461">
        <v>1411909.5</v>
      </c>
    </row>
    <row r="462" spans="1:4" x14ac:dyDescent="0.3">
      <c r="A462" s="13">
        <v>43983</v>
      </c>
      <c r="B462" t="s">
        <v>19</v>
      </c>
      <c r="C462">
        <v>16476</v>
      </c>
      <c r="D462">
        <v>1565632.5</v>
      </c>
    </row>
    <row r="463" spans="1:4" x14ac:dyDescent="0.3">
      <c r="A463" s="13">
        <v>43962</v>
      </c>
      <c r="B463" t="s">
        <v>19</v>
      </c>
      <c r="C463">
        <v>12654</v>
      </c>
      <c r="D463">
        <v>1081158</v>
      </c>
    </row>
    <row r="464" spans="1:4" x14ac:dyDescent="0.3">
      <c r="A464" s="13">
        <v>43980</v>
      </c>
      <c r="B464" t="s">
        <v>18</v>
      </c>
      <c r="C464">
        <v>19647</v>
      </c>
      <c r="D464">
        <v>1764669</v>
      </c>
    </row>
    <row r="465" spans="1:4" x14ac:dyDescent="0.3">
      <c r="A465" s="13">
        <v>43969</v>
      </c>
      <c r="B465" t="s">
        <v>19</v>
      </c>
      <c r="C465">
        <v>12450</v>
      </c>
      <c r="D465">
        <v>1115146.5</v>
      </c>
    </row>
    <row r="466" spans="1:4" x14ac:dyDescent="0.3">
      <c r="A466" s="13">
        <v>43965</v>
      </c>
      <c r="B466" t="s">
        <v>19</v>
      </c>
      <c r="C466">
        <v>11161.5</v>
      </c>
      <c r="D466">
        <v>963502.5</v>
      </c>
    </row>
    <row r="467" spans="1:4" x14ac:dyDescent="0.3">
      <c r="A467" s="13">
        <v>43966</v>
      </c>
      <c r="B467" t="s">
        <v>19</v>
      </c>
      <c r="C467">
        <v>12229.5</v>
      </c>
      <c r="D467">
        <v>1122730.5</v>
      </c>
    </row>
    <row r="468" spans="1:4" x14ac:dyDescent="0.3">
      <c r="A468" s="13">
        <v>43978</v>
      </c>
      <c r="B468" t="s">
        <v>20</v>
      </c>
      <c r="C468">
        <v>28050</v>
      </c>
      <c r="D468">
        <v>2458555.5</v>
      </c>
    </row>
    <row r="469" spans="1:4" x14ac:dyDescent="0.3">
      <c r="A469" s="13">
        <v>43973</v>
      </c>
      <c r="B469" t="s">
        <v>20</v>
      </c>
      <c r="C469">
        <v>30781.5</v>
      </c>
      <c r="D469">
        <v>2540715</v>
      </c>
    </row>
    <row r="470" spans="1:4" x14ac:dyDescent="0.3">
      <c r="A470" s="13">
        <v>43983</v>
      </c>
      <c r="B470" t="s">
        <v>20</v>
      </c>
      <c r="C470">
        <v>27960</v>
      </c>
      <c r="D470">
        <v>2538967.5</v>
      </c>
    </row>
    <row r="471" spans="1:4" x14ac:dyDescent="0.3">
      <c r="A471" s="13">
        <v>43962</v>
      </c>
      <c r="B471" t="s">
        <v>20</v>
      </c>
      <c r="C471">
        <v>23629.5</v>
      </c>
      <c r="D471">
        <v>2164365</v>
      </c>
    </row>
    <row r="472" spans="1:4" x14ac:dyDescent="0.3">
      <c r="A472" s="13">
        <v>43980</v>
      </c>
      <c r="B472" t="s">
        <v>19</v>
      </c>
      <c r="C472">
        <v>17052</v>
      </c>
      <c r="D472">
        <v>1549020</v>
      </c>
    </row>
    <row r="473" spans="1:4" x14ac:dyDescent="0.3">
      <c r="A473" s="13">
        <v>43969</v>
      </c>
      <c r="B473" t="s">
        <v>20</v>
      </c>
      <c r="C473">
        <v>27181.5</v>
      </c>
      <c r="D473">
        <v>2324490</v>
      </c>
    </row>
    <row r="474" spans="1:4" x14ac:dyDescent="0.3">
      <c r="A474" s="13">
        <v>43965</v>
      </c>
      <c r="B474" t="s">
        <v>20</v>
      </c>
      <c r="C474">
        <v>25656</v>
      </c>
      <c r="D474">
        <v>2225341.5</v>
      </c>
    </row>
    <row r="475" spans="1:4" x14ac:dyDescent="0.3">
      <c r="A475" s="13">
        <v>43966</v>
      </c>
      <c r="B475" t="s">
        <v>20</v>
      </c>
      <c r="C475">
        <v>29283</v>
      </c>
      <c r="D475">
        <v>2477487</v>
      </c>
    </row>
    <row r="476" spans="1:4" x14ac:dyDescent="0.3">
      <c r="A476" s="13">
        <v>43980</v>
      </c>
      <c r="B476" t="s">
        <v>20</v>
      </c>
      <c r="C476">
        <v>32782.5</v>
      </c>
      <c r="D476">
        <v>2854741.5</v>
      </c>
    </row>
    <row r="477" spans="1:4" x14ac:dyDescent="0.3">
      <c r="A477" s="13">
        <v>43978</v>
      </c>
      <c r="B477" t="s">
        <v>21</v>
      </c>
      <c r="C477">
        <v>215592</v>
      </c>
      <c r="D477">
        <v>22342300.5</v>
      </c>
    </row>
    <row r="478" spans="1:4" x14ac:dyDescent="0.3">
      <c r="A478" s="13">
        <v>43973</v>
      </c>
      <c r="B478" t="s">
        <v>21</v>
      </c>
      <c r="C478">
        <v>228334.5</v>
      </c>
      <c r="D478">
        <v>22380772.5</v>
      </c>
    </row>
    <row r="479" spans="1:4" x14ac:dyDescent="0.3">
      <c r="A479" s="13">
        <v>43983</v>
      </c>
      <c r="B479" t="s">
        <v>21</v>
      </c>
      <c r="C479">
        <v>188776.5</v>
      </c>
      <c r="D479">
        <v>19465372.5</v>
      </c>
    </row>
    <row r="480" spans="1:4" x14ac:dyDescent="0.3">
      <c r="A480" s="13">
        <v>43962</v>
      </c>
      <c r="B480" t="s">
        <v>21</v>
      </c>
      <c r="C480">
        <v>175293</v>
      </c>
      <c r="D480">
        <v>17919144</v>
      </c>
    </row>
    <row r="481" spans="1:4" x14ac:dyDescent="0.3">
      <c r="A481" s="13">
        <v>43969</v>
      </c>
      <c r="B481" t="s">
        <v>21</v>
      </c>
      <c r="C481">
        <v>201999</v>
      </c>
      <c r="D481">
        <v>20422435.5</v>
      </c>
    </row>
    <row r="482" spans="1:4" x14ac:dyDescent="0.3">
      <c r="A482" s="13">
        <v>43965</v>
      </c>
      <c r="B482" t="s">
        <v>21</v>
      </c>
      <c r="C482">
        <v>197946</v>
      </c>
      <c r="D482">
        <v>19942435.5</v>
      </c>
    </row>
    <row r="483" spans="1:4" x14ac:dyDescent="0.3">
      <c r="A483" s="13">
        <v>43966</v>
      </c>
      <c r="B483" t="s">
        <v>21</v>
      </c>
      <c r="C483">
        <v>230896.5</v>
      </c>
      <c r="D483">
        <v>23085222</v>
      </c>
    </row>
    <row r="484" spans="1:4" x14ac:dyDescent="0.3">
      <c r="A484" s="13">
        <v>43978</v>
      </c>
      <c r="B484" t="s">
        <v>22</v>
      </c>
      <c r="C484">
        <v>203532</v>
      </c>
      <c r="D484">
        <v>20953324.5</v>
      </c>
    </row>
    <row r="485" spans="1:4" x14ac:dyDescent="0.3">
      <c r="A485" s="13">
        <v>43973</v>
      </c>
      <c r="B485" t="s">
        <v>22</v>
      </c>
      <c r="C485">
        <v>214428</v>
      </c>
      <c r="D485">
        <v>20812585.5</v>
      </c>
    </row>
    <row r="486" spans="1:4" x14ac:dyDescent="0.3">
      <c r="A486" s="13">
        <v>43983</v>
      </c>
      <c r="B486" t="s">
        <v>22</v>
      </c>
      <c r="C486">
        <v>183228</v>
      </c>
      <c r="D486">
        <v>18914194.5</v>
      </c>
    </row>
    <row r="487" spans="1:4" x14ac:dyDescent="0.3">
      <c r="A487" s="13">
        <v>43962</v>
      </c>
      <c r="B487" t="s">
        <v>22</v>
      </c>
      <c r="C487">
        <v>166948.5</v>
      </c>
      <c r="D487">
        <v>16971231</v>
      </c>
    </row>
    <row r="488" spans="1:4" x14ac:dyDescent="0.3">
      <c r="A488" s="13">
        <v>43980</v>
      </c>
      <c r="B488" t="s">
        <v>21</v>
      </c>
      <c r="C488">
        <v>232102.5</v>
      </c>
      <c r="D488">
        <v>23120443.5</v>
      </c>
    </row>
    <row r="489" spans="1:4" x14ac:dyDescent="0.3">
      <c r="A489" s="13">
        <v>43969</v>
      </c>
      <c r="B489" t="s">
        <v>22</v>
      </c>
      <c r="C489">
        <v>196560</v>
      </c>
      <c r="D489">
        <v>19855122</v>
      </c>
    </row>
    <row r="490" spans="1:4" x14ac:dyDescent="0.3">
      <c r="A490" s="13">
        <v>43965</v>
      </c>
      <c r="B490" t="s">
        <v>22</v>
      </c>
      <c r="C490">
        <v>186496.5</v>
      </c>
      <c r="D490">
        <v>18640998</v>
      </c>
    </row>
    <row r="491" spans="1:4" x14ac:dyDescent="0.3">
      <c r="A491" s="13">
        <v>43966</v>
      </c>
      <c r="B491" t="s">
        <v>22</v>
      </c>
      <c r="C491">
        <v>219772.5</v>
      </c>
      <c r="D491">
        <v>21895294.5</v>
      </c>
    </row>
    <row r="492" spans="1:4" x14ac:dyDescent="0.3">
      <c r="A492" s="13">
        <v>43980</v>
      </c>
      <c r="B492" t="s">
        <v>22</v>
      </c>
      <c r="C492">
        <v>226476</v>
      </c>
      <c r="D492">
        <v>22416151.5</v>
      </c>
    </row>
    <row r="493" spans="1:4" x14ac:dyDescent="0.3">
      <c r="A493" s="13">
        <v>43978</v>
      </c>
      <c r="B493" t="s">
        <v>24</v>
      </c>
      <c r="C493">
        <v>8362.5</v>
      </c>
      <c r="D493">
        <v>687684</v>
      </c>
    </row>
    <row r="494" spans="1:4" x14ac:dyDescent="0.3">
      <c r="A494" s="13">
        <v>43973</v>
      </c>
      <c r="B494" t="s">
        <v>23</v>
      </c>
      <c r="C494">
        <v>17008.5</v>
      </c>
      <c r="D494">
        <v>1398771</v>
      </c>
    </row>
    <row r="495" spans="1:4" x14ac:dyDescent="0.3">
      <c r="A495" s="13">
        <v>43983</v>
      </c>
      <c r="B495" t="s">
        <v>25</v>
      </c>
      <c r="C495">
        <v>5166</v>
      </c>
      <c r="D495">
        <v>389013</v>
      </c>
    </row>
    <row r="496" spans="1:4" x14ac:dyDescent="0.3">
      <c r="A496" s="13">
        <v>43962</v>
      </c>
      <c r="B496" t="s">
        <v>23</v>
      </c>
      <c r="C496">
        <v>10941</v>
      </c>
      <c r="D496">
        <v>880356</v>
      </c>
    </row>
    <row r="497" spans="1:4" x14ac:dyDescent="0.3">
      <c r="A497" s="13">
        <v>43969</v>
      </c>
      <c r="B497" t="s">
        <v>23</v>
      </c>
      <c r="C497">
        <v>14497.5</v>
      </c>
      <c r="D497">
        <v>1230711</v>
      </c>
    </row>
    <row r="498" spans="1:4" x14ac:dyDescent="0.3">
      <c r="A498" s="13">
        <v>43965</v>
      </c>
      <c r="B498" t="s">
        <v>23</v>
      </c>
      <c r="C498">
        <v>13810.5</v>
      </c>
      <c r="D498">
        <v>1131676.5</v>
      </c>
    </row>
    <row r="499" spans="1:4" x14ac:dyDescent="0.3">
      <c r="A499" s="13">
        <v>43966</v>
      </c>
      <c r="B499" t="s">
        <v>23</v>
      </c>
      <c r="C499">
        <v>13752</v>
      </c>
      <c r="D499">
        <v>1091040</v>
      </c>
    </row>
    <row r="500" spans="1:4" x14ac:dyDescent="0.3">
      <c r="A500" s="13">
        <v>43978</v>
      </c>
      <c r="B500" t="s">
        <v>23</v>
      </c>
      <c r="C500">
        <v>15276</v>
      </c>
      <c r="D500">
        <v>1350199.5</v>
      </c>
    </row>
    <row r="501" spans="1:4" x14ac:dyDescent="0.3">
      <c r="A501" s="13">
        <v>43983</v>
      </c>
      <c r="B501" t="s">
        <v>26</v>
      </c>
      <c r="C501">
        <v>4408.5</v>
      </c>
      <c r="D501">
        <v>410892</v>
      </c>
    </row>
    <row r="502" spans="1:4" x14ac:dyDescent="0.3">
      <c r="A502" s="13">
        <v>43980</v>
      </c>
      <c r="B502" t="s">
        <v>24</v>
      </c>
      <c r="C502">
        <v>9927</v>
      </c>
      <c r="D502">
        <v>850840.5</v>
      </c>
    </row>
    <row r="503" spans="1:4" x14ac:dyDescent="0.3">
      <c r="A503" s="13">
        <v>43983</v>
      </c>
      <c r="B503" t="s">
        <v>24</v>
      </c>
      <c r="C503">
        <v>9474</v>
      </c>
      <c r="D503">
        <v>802447.5</v>
      </c>
    </row>
    <row r="504" spans="1:4" x14ac:dyDescent="0.3">
      <c r="A504" s="13">
        <v>43980</v>
      </c>
      <c r="B504" t="s">
        <v>23</v>
      </c>
      <c r="C504">
        <v>16878</v>
      </c>
      <c r="D504">
        <v>1438255.5</v>
      </c>
    </row>
    <row r="505" spans="1:4" x14ac:dyDescent="0.3">
      <c r="A505" s="13">
        <v>43983</v>
      </c>
      <c r="B505" t="s">
        <v>23</v>
      </c>
      <c r="C505">
        <v>14238</v>
      </c>
      <c r="D505">
        <v>1293219</v>
      </c>
    </row>
    <row r="506" spans="1:4" x14ac:dyDescent="0.3">
      <c r="A506" s="13"/>
    </row>
    <row r="507" spans="1:4" x14ac:dyDescent="0.3">
      <c r="A507" s="13"/>
    </row>
    <row r="508" spans="1:4" x14ac:dyDescent="0.3">
      <c r="A508" s="13"/>
    </row>
    <row r="509" spans="1:4" x14ac:dyDescent="0.3">
      <c r="A509" s="13"/>
    </row>
    <row r="510" spans="1:4" x14ac:dyDescent="0.3">
      <c r="A510" s="13"/>
    </row>
    <row r="511" spans="1:4" x14ac:dyDescent="0.3">
      <c r="A511" s="13"/>
    </row>
    <row r="512" spans="1:4" x14ac:dyDescent="0.3">
      <c r="A512" s="13"/>
    </row>
    <row r="513" spans="1:1" x14ac:dyDescent="0.3">
      <c r="A513" s="13"/>
    </row>
    <row r="514" spans="1:1" x14ac:dyDescent="0.3">
      <c r="A514" s="13"/>
    </row>
    <row r="515" spans="1:1" x14ac:dyDescent="0.3">
      <c r="A515" s="13"/>
    </row>
    <row r="516" spans="1:1" x14ac:dyDescent="0.3">
      <c r="A516" s="13"/>
    </row>
    <row r="517" spans="1:1" x14ac:dyDescent="0.3">
      <c r="A517" s="13"/>
    </row>
    <row r="518" spans="1:1" x14ac:dyDescent="0.3">
      <c r="A518" s="13"/>
    </row>
    <row r="519" spans="1:1" x14ac:dyDescent="0.3">
      <c r="A519" s="13"/>
    </row>
    <row r="520" spans="1:1" x14ac:dyDescent="0.3">
      <c r="A520" s="13"/>
    </row>
    <row r="521" spans="1:1" x14ac:dyDescent="0.3">
      <c r="A521" s="13"/>
    </row>
    <row r="522" spans="1:1" x14ac:dyDescent="0.3">
      <c r="A522" s="13"/>
    </row>
    <row r="523" spans="1:1" x14ac:dyDescent="0.3">
      <c r="A523" s="13"/>
    </row>
    <row r="524" spans="1:1" x14ac:dyDescent="0.3">
      <c r="A524" s="13"/>
    </row>
    <row r="525" spans="1:1" x14ac:dyDescent="0.3">
      <c r="A525" s="13"/>
    </row>
    <row r="526" spans="1:1" x14ac:dyDescent="0.3">
      <c r="A526" s="13"/>
    </row>
    <row r="527" spans="1:1" x14ac:dyDescent="0.3">
      <c r="A527" s="13"/>
    </row>
    <row r="528" spans="1:1" x14ac:dyDescent="0.3">
      <c r="A528" s="13"/>
    </row>
    <row r="529" spans="1:1" x14ac:dyDescent="0.3">
      <c r="A529" s="13"/>
    </row>
    <row r="530" spans="1:1" x14ac:dyDescent="0.3">
      <c r="A530" s="13"/>
    </row>
    <row r="531" spans="1:1" x14ac:dyDescent="0.3">
      <c r="A531" s="13"/>
    </row>
    <row r="532" spans="1:1" x14ac:dyDescent="0.3">
      <c r="A532" s="13"/>
    </row>
    <row r="533" spans="1:1" x14ac:dyDescent="0.3">
      <c r="A533" s="13"/>
    </row>
    <row r="534" spans="1:1" x14ac:dyDescent="0.3">
      <c r="A534" s="13"/>
    </row>
    <row r="535" spans="1:1" x14ac:dyDescent="0.3">
      <c r="A535" s="13"/>
    </row>
    <row r="536" spans="1:1" x14ac:dyDescent="0.3">
      <c r="A536" s="13"/>
    </row>
    <row r="537" spans="1:1" x14ac:dyDescent="0.3">
      <c r="A537" s="13"/>
    </row>
    <row r="538" spans="1:1" x14ac:dyDescent="0.3">
      <c r="A538" s="13"/>
    </row>
    <row r="539" spans="1:1" x14ac:dyDescent="0.3">
      <c r="A539" s="13"/>
    </row>
    <row r="540" spans="1:1" x14ac:dyDescent="0.3">
      <c r="A540" s="13"/>
    </row>
    <row r="541" spans="1:1" x14ac:dyDescent="0.3">
      <c r="A541" s="13"/>
    </row>
    <row r="542" spans="1:1" x14ac:dyDescent="0.3">
      <c r="A542" s="13"/>
    </row>
    <row r="543" spans="1:1" x14ac:dyDescent="0.3">
      <c r="A543" s="13"/>
    </row>
    <row r="544" spans="1:1" x14ac:dyDescent="0.3">
      <c r="A544" s="13"/>
    </row>
    <row r="545" spans="1:1" x14ac:dyDescent="0.3">
      <c r="A545" s="13"/>
    </row>
    <row r="546" spans="1:1" x14ac:dyDescent="0.3">
      <c r="A546" s="13"/>
    </row>
    <row r="547" spans="1:1" x14ac:dyDescent="0.3">
      <c r="A547" s="13"/>
    </row>
    <row r="548" spans="1:1" x14ac:dyDescent="0.3">
      <c r="A548" s="13"/>
    </row>
    <row r="549" spans="1:1" x14ac:dyDescent="0.3">
      <c r="A549" s="13"/>
    </row>
    <row r="550" spans="1:1" x14ac:dyDescent="0.3">
      <c r="A550" s="13"/>
    </row>
    <row r="551" spans="1:1" x14ac:dyDescent="0.3">
      <c r="A551" s="13"/>
    </row>
    <row r="552" spans="1:1" x14ac:dyDescent="0.3">
      <c r="A552" s="13"/>
    </row>
    <row r="553" spans="1:1" x14ac:dyDescent="0.3">
      <c r="A553" s="13"/>
    </row>
    <row r="554" spans="1:1" x14ac:dyDescent="0.3">
      <c r="A554" s="13"/>
    </row>
    <row r="555" spans="1:1" x14ac:dyDescent="0.3">
      <c r="A555" s="13"/>
    </row>
    <row r="556" spans="1:1" x14ac:dyDescent="0.3">
      <c r="A556" s="13"/>
    </row>
    <row r="557" spans="1:1" x14ac:dyDescent="0.3">
      <c r="A557" s="13"/>
    </row>
    <row r="558" spans="1:1" x14ac:dyDescent="0.3">
      <c r="A558" s="13"/>
    </row>
    <row r="559" spans="1:1" x14ac:dyDescent="0.3">
      <c r="A559" s="13"/>
    </row>
    <row r="560" spans="1:1" x14ac:dyDescent="0.3">
      <c r="A560" s="13"/>
    </row>
    <row r="561" spans="1:1" x14ac:dyDescent="0.3">
      <c r="A561" s="13"/>
    </row>
    <row r="562" spans="1:1" x14ac:dyDescent="0.3">
      <c r="A562" s="13"/>
    </row>
    <row r="563" spans="1:1" x14ac:dyDescent="0.3">
      <c r="A563" s="13"/>
    </row>
    <row r="564" spans="1:1" x14ac:dyDescent="0.3">
      <c r="A564" s="13"/>
    </row>
    <row r="565" spans="1:1" x14ac:dyDescent="0.3">
      <c r="A565" s="13"/>
    </row>
    <row r="566" spans="1:1" x14ac:dyDescent="0.3">
      <c r="A566" s="13"/>
    </row>
    <row r="567" spans="1:1" x14ac:dyDescent="0.3">
      <c r="A567" s="13"/>
    </row>
    <row r="568" spans="1:1" x14ac:dyDescent="0.3">
      <c r="A568" s="13"/>
    </row>
    <row r="569" spans="1:1" x14ac:dyDescent="0.3">
      <c r="A569" s="13"/>
    </row>
    <row r="570" spans="1:1" x14ac:dyDescent="0.3">
      <c r="A570" s="13"/>
    </row>
    <row r="571" spans="1:1" x14ac:dyDescent="0.3">
      <c r="A571" s="13"/>
    </row>
    <row r="572" spans="1:1" x14ac:dyDescent="0.3">
      <c r="A572" s="13"/>
    </row>
    <row r="573" spans="1:1" x14ac:dyDescent="0.3">
      <c r="A573" s="13"/>
    </row>
    <row r="574" spans="1:1" x14ac:dyDescent="0.3">
      <c r="A574" s="13"/>
    </row>
    <row r="575" spans="1:1" x14ac:dyDescent="0.3">
      <c r="A575" s="13"/>
    </row>
    <row r="576" spans="1:1" x14ac:dyDescent="0.3">
      <c r="A576" s="13"/>
    </row>
    <row r="577" spans="1:1" x14ac:dyDescent="0.3">
      <c r="A577" s="13"/>
    </row>
    <row r="578" spans="1:1" x14ac:dyDescent="0.3">
      <c r="A578" s="13"/>
    </row>
    <row r="579" spans="1:1" x14ac:dyDescent="0.3">
      <c r="A579" s="13"/>
    </row>
    <row r="580" spans="1:1" x14ac:dyDescent="0.3">
      <c r="A580" s="13"/>
    </row>
    <row r="581" spans="1:1" x14ac:dyDescent="0.3">
      <c r="A581" s="13"/>
    </row>
    <row r="582" spans="1:1" x14ac:dyDescent="0.3">
      <c r="A582" s="13"/>
    </row>
    <row r="583" spans="1:1" x14ac:dyDescent="0.3">
      <c r="A583" s="13"/>
    </row>
    <row r="584" spans="1:1" x14ac:dyDescent="0.3">
      <c r="A584" s="13"/>
    </row>
    <row r="585" spans="1:1" x14ac:dyDescent="0.3">
      <c r="A585" s="13"/>
    </row>
    <row r="586" spans="1:1" x14ac:dyDescent="0.3">
      <c r="A586" s="13"/>
    </row>
    <row r="587" spans="1:1" x14ac:dyDescent="0.3">
      <c r="A587" s="13"/>
    </row>
    <row r="588" spans="1:1" x14ac:dyDescent="0.3">
      <c r="A588" s="13"/>
    </row>
    <row r="589" spans="1:1" x14ac:dyDescent="0.3">
      <c r="A589" s="13"/>
    </row>
    <row r="590" spans="1:1" x14ac:dyDescent="0.3">
      <c r="A590" s="13"/>
    </row>
    <row r="591" spans="1:1" x14ac:dyDescent="0.3">
      <c r="A591" s="13"/>
    </row>
    <row r="592" spans="1:1" x14ac:dyDescent="0.3">
      <c r="A592" s="13"/>
    </row>
    <row r="593" spans="1:1" x14ac:dyDescent="0.3">
      <c r="A593" s="13"/>
    </row>
    <row r="594" spans="1:1" x14ac:dyDescent="0.3">
      <c r="A594" s="13"/>
    </row>
    <row r="595" spans="1:1" x14ac:dyDescent="0.3">
      <c r="A595" s="13"/>
    </row>
    <row r="596" spans="1:1" x14ac:dyDescent="0.3">
      <c r="A596" s="13"/>
    </row>
    <row r="597" spans="1:1" x14ac:dyDescent="0.3">
      <c r="A597" s="13"/>
    </row>
    <row r="598" spans="1:1" x14ac:dyDescent="0.3">
      <c r="A598" s="13"/>
    </row>
    <row r="599" spans="1:1" x14ac:dyDescent="0.3">
      <c r="A599" s="13"/>
    </row>
    <row r="600" spans="1:1" x14ac:dyDescent="0.3">
      <c r="A600" s="13"/>
    </row>
    <row r="601" spans="1:1" x14ac:dyDescent="0.3">
      <c r="A601" s="13"/>
    </row>
    <row r="602" spans="1:1" x14ac:dyDescent="0.3">
      <c r="A602" s="13"/>
    </row>
    <row r="603" spans="1:1" x14ac:dyDescent="0.3">
      <c r="A603" s="13"/>
    </row>
    <row r="604" spans="1:1" x14ac:dyDescent="0.3">
      <c r="A604" s="13"/>
    </row>
    <row r="605" spans="1:1" x14ac:dyDescent="0.3">
      <c r="A605" s="13"/>
    </row>
    <row r="606" spans="1:1" x14ac:dyDescent="0.3">
      <c r="A606" s="13"/>
    </row>
    <row r="607" spans="1:1" x14ac:dyDescent="0.3">
      <c r="A607" s="13"/>
    </row>
    <row r="608" spans="1:1" x14ac:dyDescent="0.3">
      <c r="A608" s="13"/>
    </row>
    <row r="609" spans="1:1" x14ac:dyDescent="0.3">
      <c r="A609" s="13"/>
    </row>
    <row r="610" spans="1:1" x14ac:dyDescent="0.3">
      <c r="A610" s="13"/>
    </row>
    <row r="611" spans="1:1" x14ac:dyDescent="0.3">
      <c r="A611" s="13"/>
    </row>
    <row r="612" spans="1:1" x14ac:dyDescent="0.3">
      <c r="A612" s="13"/>
    </row>
    <row r="613" spans="1:1" x14ac:dyDescent="0.3">
      <c r="A613" s="13"/>
    </row>
    <row r="614" spans="1:1" x14ac:dyDescent="0.3">
      <c r="A614" s="13"/>
    </row>
    <row r="615" spans="1:1" x14ac:dyDescent="0.3">
      <c r="A615" s="13"/>
    </row>
    <row r="616" spans="1:1" x14ac:dyDescent="0.3">
      <c r="A616" s="13"/>
    </row>
    <row r="617" spans="1:1" x14ac:dyDescent="0.3">
      <c r="A617" s="13"/>
    </row>
    <row r="618" spans="1:1" x14ac:dyDescent="0.3">
      <c r="A618" s="13"/>
    </row>
    <row r="619" spans="1:1" x14ac:dyDescent="0.3">
      <c r="A619" s="13"/>
    </row>
    <row r="620" spans="1:1" x14ac:dyDescent="0.3">
      <c r="A620" s="13"/>
    </row>
    <row r="621" spans="1:1" x14ac:dyDescent="0.3">
      <c r="A621" s="13"/>
    </row>
    <row r="622" spans="1:1" x14ac:dyDescent="0.3">
      <c r="A622" s="13"/>
    </row>
    <row r="623" spans="1:1" x14ac:dyDescent="0.3">
      <c r="A623" s="13"/>
    </row>
    <row r="624" spans="1:1" x14ac:dyDescent="0.3">
      <c r="A624" s="13"/>
    </row>
    <row r="625" spans="1:1" x14ac:dyDescent="0.3">
      <c r="A625" s="13"/>
    </row>
    <row r="626" spans="1:1" x14ac:dyDescent="0.3">
      <c r="A626" s="13"/>
    </row>
    <row r="627" spans="1:1" x14ac:dyDescent="0.3">
      <c r="A627" s="13"/>
    </row>
    <row r="628" spans="1:1" x14ac:dyDescent="0.3">
      <c r="A628" s="13"/>
    </row>
    <row r="629" spans="1:1" x14ac:dyDescent="0.3">
      <c r="A629" s="13"/>
    </row>
    <row r="630" spans="1:1" x14ac:dyDescent="0.3">
      <c r="A630" s="13"/>
    </row>
    <row r="631" spans="1:1" x14ac:dyDescent="0.3">
      <c r="A631" s="13"/>
    </row>
    <row r="632" spans="1:1" x14ac:dyDescent="0.3">
      <c r="A632" s="13"/>
    </row>
    <row r="633" spans="1:1" x14ac:dyDescent="0.3">
      <c r="A633" s="13"/>
    </row>
    <row r="634" spans="1:1" x14ac:dyDescent="0.3">
      <c r="A634" s="13"/>
    </row>
    <row r="635" spans="1:1" x14ac:dyDescent="0.3">
      <c r="A635" s="13"/>
    </row>
    <row r="636" spans="1:1" x14ac:dyDescent="0.3">
      <c r="A636" s="13"/>
    </row>
    <row r="637" spans="1:1" x14ac:dyDescent="0.3">
      <c r="A637" s="13"/>
    </row>
    <row r="638" spans="1:1" x14ac:dyDescent="0.3">
      <c r="A638" s="13"/>
    </row>
    <row r="639" spans="1:1" x14ac:dyDescent="0.3">
      <c r="A639" s="13"/>
    </row>
    <row r="640" spans="1:1" x14ac:dyDescent="0.3">
      <c r="A640" s="13"/>
    </row>
    <row r="641" spans="1:1" x14ac:dyDescent="0.3">
      <c r="A641" s="13"/>
    </row>
    <row r="642" spans="1:1" x14ac:dyDescent="0.3">
      <c r="A642" s="13"/>
    </row>
    <row r="643" spans="1:1" x14ac:dyDescent="0.3">
      <c r="A643" s="13"/>
    </row>
    <row r="644" spans="1:1" x14ac:dyDescent="0.3">
      <c r="A644" s="13"/>
    </row>
    <row r="645" spans="1:1" x14ac:dyDescent="0.3">
      <c r="A645" s="13"/>
    </row>
    <row r="646" spans="1:1" x14ac:dyDescent="0.3">
      <c r="A646" s="13"/>
    </row>
    <row r="647" spans="1:1" x14ac:dyDescent="0.3">
      <c r="A647" s="13"/>
    </row>
    <row r="648" spans="1:1" x14ac:dyDescent="0.3">
      <c r="A648" s="13"/>
    </row>
    <row r="649" spans="1:1" x14ac:dyDescent="0.3">
      <c r="A649" s="13"/>
    </row>
    <row r="650" spans="1:1" x14ac:dyDescent="0.3">
      <c r="A650" s="13"/>
    </row>
    <row r="651" spans="1:1" x14ac:dyDescent="0.3">
      <c r="A651" s="13"/>
    </row>
    <row r="652" spans="1:1" x14ac:dyDescent="0.3">
      <c r="A652" s="13"/>
    </row>
    <row r="653" spans="1:1" x14ac:dyDescent="0.3">
      <c r="A653" s="13"/>
    </row>
    <row r="654" spans="1:1" x14ac:dyDescent="0.3">
      <c r="A654" s="13"/>
    </row>
    <row r="655" spans="1:1" x14ac:dyDescent="0.3">
      <c r="A655" s="13"/>
    </row>
    <row r="656" spans="1:1" x14ac:dyDescent="0.3">
      <c r="A656" s="13"/>
    </row>
    <row r="657" spans="1:1" x14ac:dyDescent="0.3">
      <c r="A657" s="13"/>
    </row>
    <row r="658" spans="1:1" x14ac:dyDescent="0.3">
      <c r="A658" s="13"/>
    </row>
    <row r="659" spans="1:1" x14ac:dyDescent="0.3">
      <c r="A659" s="13"/>
    </row>
    <row r="660" spans="1:1" x14ac:dyDescent="0.3">
      <c r="A660" s="13"/>
    </row>
    <row r="661" spans="1:1" x14ac:dyDescent="0.3">
      <c r="A661" s="13"/>
    </row>
    <row r="662" spans="1:1" x14ac:dyDescent="0.3">
      <c r="A662" s="13"/>
    </row>
    <row r="663" spans="1:1" x14ac:dyDescent="0.3">
      <c r="A663" s="13"/>
    </row>
    <row r="664" spans="1:1" x14ac:dyDescent="0.3">
      <c r="A664" s="13"/>
    </row>
    <row r="665" spans="1:1" x14ac:dyDescent="0.3">
      <c r="A665" s="13"/>
    </row>
    <row r="666" spans="1:1" x14ac:dyDescent="0.3">
      <c r="A666" s="13"/>
    </row>
    <row r="667" spans="1:1" x14ac:dyDescent="0.3">
      <c r="A667" s="13"/>
    </row>
    <row r="668" spans="1:1" x14ac:dyDescent="0.3">
      <c r="A668" s="13"/>
    </row>
    <row r="669" spans="1:1" x14ac:dyDescent="0.3">
      <c r="A669" s="13"/>
    </row>
    <row r="670" spans="1:1" x14ac:dyDescent="0.3">
      <c r="A670" s="13"/>
    </row>
    <row r="671" spans="1:1" x14ac:dyDescent="0.3">
      <c r="A671" s="13"/>
    </row>
    <row r="672" spans="1:1" x14ac:dyDescent="0.3">
      <c r="A672" s="13"/>
    </row>
    <row r="673" spans="1:1" x14ac:dyDescent="0.3">
      <c r="A673" s="13"/>
    </row>
    <row r="674" spans="1:1" x14ac:dyDescent="0.3">
      <c r="A674" s="13"/>
    </row>
    <row r="675" spans="1:1" x14ac:dyDescent="0.3">
      <c r="A675" s="13"/>
    </row>
    <row r="676" spans="1:1" x14ac:dyDescent="0.3">
      <c r="A676" s="13"/>
    </row>
    <row r="677" spans="1:1" x14ac:dyDescent="0.3">
      <c r="A677" s="13"/>
    </row>
    <row r="678" spans="1:1" x14ac:dyDescent="0.3">
      <c r="A678" s="13"/>
    </row>
    <row r="679" spans="1:1" x14ac:dyDescent="0.3">
      <c r="A679" s="13"/>
    </row>
    <row r="680" spans="1:1" x14ac:dyDescent="0.3">
      <c r="A680" s="13"/>
    </row>
    <row r="681" spans="1:1" x14ac:dyDescent="0.3">
      <c r="A681" s="13"/>
    </row>
    <row r="682" spans="1:1" x14ac:dyDescent="0.3">
      <c r="A682" s="13"/>
    </row>
    <row r="683" spans="1:1" x14ac:dyDescent="0.3">
      <c r="A683" s="13"/>
    </row>
    <row r="684" spans="1:1" x14ac:dyDescent="0.3">
      <c r="A684" s="13"/>
    </row>
    <row r="685" spans="1:1" x14ac:dyDescent="0.3">
      <c r="A685" s="13"/>
    </row>
    <row r="686" spans="1:1" x14ac:dyDescent="0.3">
      <c r="A686" s="13"/>
    </row>
    <row r="687" spans="1:1" x14ac:dyDescent="0.3">
      <c r="A687" s="13"/>
    </row>
    <row r="688" spans="1:1" x14ac:dyDescent="0.3">
      <c r="A688" s="13"/>
    </row>
    <row r="689" spans="1:1" x14ac:dyDescent="0.3">
      <c r="A689" s="13"/>
    </row>
    <row r="690" spans="1:1" x14ac:dyDescent="0.3">
      <c r="A690" s="13"/>
    </row>
    <row r="691" spans="1:1" x14ac:dyDescent="0.3">
      <c r="A691" s="13"/>
    </row>
    <row r="692" spans="1:1" x14ac:dyDescent="0.3">
      <c r="A692" s="13"/>
    </row>
    <row r="693" spans="1:1" x14ac:dyDescent="0.3">
      <c r="A693" s="13"/>
    </row>
    <row r="694" spans="1:1" x14ac:dyDescent="0.3">
      <c r="A694" s="13"/>
    </row>
    <row r="695" spans="1:1" x14ac:dyDescent="0.3">
      <c r="A695" s="13"/>
    </row>
    <row r="696" spans="1:1" x14ac:dyDescent="0.3">
      <c r="A696" s="13"/>
    </row>
    <row r="697" spans="1:1" x14ac:dyDescent="0.3">
      <c r="A697" s="13"/>
    </row>
    <row r="698" spans="1:1" x14ac:dyDescent="0.3">
      <c r="A698" s="13"/>
    </row>
    <row r="699" spans="1:1" x14ac:dyDescent="0.3">
      <c r="A699" s="13"/>
    </row>
    <row r="700" spans="1:1" x14ac:dyDescent="0.3">
      <c r="A700" s="13"/>
    </row>
    <row r="701" spans="1:1" x14ac:dyDescent="0.3">
      <c r="A701" s="13"/>
    </row>
    <row r="702" spans="1:1" x14ac:dyDescent="0.3">
      <c r="A702" s="13"/>
    </row>
    <row r="703" spans="1:1" x14ac:dyDescent="0.3">
      <c r="A703" s="13"/>
    </row>
    <row r="704" spans="1:1" x14ac:dyDescent="0.3">
      <c r="A704" s="13"/>
    </row>
    <row r="705" spans="1:1" x14ac:dyDescent="0.3">
      <c r="A705" s="13"/>
    </row>
    <row r="706" spans="1:1" x14ac:dyDescent="0.3">
      <c r="A706" s="13"/>
    </row>
    <row r="707" spans="1:1" x14ac:dyDescent="0.3">
      <c r="A707" s="13"/>
    </row>
    <row r="708" spans="1:1" x14ac:dyDescent="0.3">
      <c r="A708" s="13"/>
    </row>
    <row r="709" spans="1:1" x14ac:dyDescent="0.3">
      <c r="A709" s="13"/>
    </row>
    <row r="710" spans="1:1" x14ac:dyDescent="0.3">
      <c r="A710" s="13"/>
    </row>
    <row r="711" spans="1:1" x14ac:dyDescent="0.3">
      <c r="A711" s="13"/>
    </row>
    <row r="712" spans="1:1" x14ac:dyDescent="0.3">
      <c r="A712" s="13"/>
    </row>
    <row r="713" spans="1:1" x14ac:dyDescent="0.3">
      <c r="A713" s="13"/>
    </row>
    <row r="714" spans="1:1" x14ac:dyDescent="0.3">
      <c r="A714" s="13"/>
    </row>
    <row r="715" spans="1:1" x14ac:dyDescent="0.3">
      <c r="A715" s="13"/>
    </row>
    <row r="716" spans="1:1" x14ac:dyDescent="0.3">
      <c r="A716" s="13"/>
    </row>
    <row r="717" spans="1:1" x14ac:dyDescent="0.3">
      <c r="A717" s="13"/>
    </row>
    <row r="718" spans="1:1" x14ac:dyDescent="0.3">
      <c r="A718" s="13"/>
    </row>
    <row r="719" spans="1:1" x14ac:dyDescent="0.3">
      <c r="A719" s="13"/>
    </row>
    <row r="720" spans="1:1" x14ac:dyDescent="0.3">
      <c r="A720" s="13"/>
    </row>
    <row r="721" spans="1:1" x14ac:dyDescent="0.3">
      <c r="A721" s="13"/>
    </row>
    <row r="722" spans="1:1" x14ac:dyDescent="0.3">
      <c r="A722" s="13"/>
    </row>
    <row r="723" spans="1:1" x14ac:dyDescent="0.3">
      <c r="A723" s="13"/>
    </row>
    <row r="724" spans="1:1" x14ac:dyDescent="0.3">
      <c r="A724" s="13"/>
    </row>
    <row r="725" spans="1:1" x14ac:dyDescent="0.3">
      <c r="A725" s="13"/>
    </row>
    <row r="726" spans="1:1" x14ac:dyDescent="0.3">
      <c r="A726" s="13"/>
    </row>
    <row r="727" spans="1:1" x14ac:dyDescent="0.3">
      <c r="A727" s="13"/>
    </row>
    <row r="728" spans="1:1" x14ac:dyDescent="0.3">
      <c r="A728" s="13"/>
    </row>
    <row r="729" spans="1:1" x14ac:dyDescent="0.3">
      <c r="A729" s="13"/>
    </row>
    <row r="730" spans="1:1" x14ac:dyDescent="0.3">
      <c r="A730" s="13"/>
    </row>
    <row r="731" spans="1:1" x14ac:dyDescent="0.3">
      <c r="A731" s="13"/>
    </row>
    <row r="732" spans="1:1" x14ac:dyDescent="0.3">
      <c r="A732" s="13"/>
    </row>
    <row r="733" spans="1:1" x14ac:dyDescent="0.3">
      <c r="A733" s="13"/>
    </row>
    <row r="734" spans="1:1" x14ac:dyDescent="0.3">
      <c r="A734" s="13"/>
    </row>
    <row r="735" spans="1:1" x14ac:dyDescent="0.3">
      <c r="A735" s="13"/>
    </row>
    <row r="736" spans="1:1" x14ac:dyDescent="0.3">
      <c r="A736" s="13"/>
    </row>
    <row r="737" spans="1:1" x14ac:dyDescent="0.3">
      <c r="A737" s="13"/>
    </row>
    <row r="738" spans="1:1" x14ac:dyDescent="0.3">
      <c r="A738" s="13"/>
    </row>
    <row r="739" spans="1:1" x14ac:dyDescent="0.3">
      <c r="A739" s="13"/>
    </row>
    <row r="740" spans="1:1" x14ac:dyDescent="0.3">
      <c r="A740" s="13"/>
    </row>
    <row r="741" spans="1:1" x14ac:dyDescent="0.3">
      <c r="A741" s="13"/>
    </row>
    <row r="742" spans="1:1" x14ac:dyDescent="0.3">
      <c r="A742" s="13"/>
    </row>
    <row r="743" spans="1:1" x14ac:dyDescent="0.3">
      <c r="A743" s="13"/>
    </row>
    <row r="744" spans="1:1" x14ac:dyDescent="0.3">
      <c r="A744" s="13"/>
    </row>
    <row r="745" spans="1:1" x14ac:dyDescent="0.3">
      <c r="A745" s="13"/>
    </row>
    <row r="746" spans="1:1" x14ac:dyDescent="0.3">
      <c r="A746" s="13"/>
    </row>
    <row r="747" spans="1:1" x14ac:dyDescent="0.3">
      <c r="A747" s="13"/>
    </row>
    <row r="748" spans="1:1" x14ac:dyDescent="0.3">
      <c r="A748" s="13"/>
    </row>
    <row r="749" spans="1:1" x14ac:dyDescent="0.3">
      <c r="A749" s="13"/>
    </row>
    <row r="750" spans="1:1" x14ac:dyDescent="0.3">
      <c r="A750" s="13"/>
    </row>
    <row r="751" spans="1:1" x14ac:dyDescent="0.3">
      <c r="A751" s="13"/>
    </row>
    <row r="752" spans="1:1" x14ac:dyDescent="0.3">
      <c r="A752" s="13"/>
    </row>
    <row r="753" spans="1:1" x14ac:dyDescent="0.3">
      <c r="A753" s="13"/>
    </row>
    <row r="754" spans="1:1" x14ac:dyDescent="0.3">
      <c r="A754" s="13"/>
    </row>
    <row r="755" spans="1:1" x14ac:dyDescent="0.3">
      <c r="A755" s="13"/>
    </row>
    <row r="756" spans="1:1" x14ac:dyDescent="0.3">
      <c r="A756" s="13"/>
    </row>
    <row r="757" spans="1:1" x14ac:dyDescent="0.3">
      <c r="A757" s="13"/>
    </row>
    <row r="758" spans="1:1" x14ac:dyDescent="0.3">
      <c r="A758" s="13"/>
    </row>
    <row r="759" spans="1:1" x14ac:dyDescent="0.3">
      <c r="A759" s="13"/>
    </row>
    <row r="760" spans="1:1" x14ac:dyDescent="0.3">
      <c r="A760" s="13"/>
    </row>
    <row r="761" spans="1:1" x14ac:dyDescent="0.3">
      <c r="A761" s="13"/>
    </row>
    <row r="762" spans="1:1" x14ac:dyDescent="0.3">
      <c r="A762" s="13"/>
    </row>
    <row r="763" spans="1:1" x14ac:dyDescent="0.3">
      <c r="A763" s="13"/>
    </row>
    <row r="764" spans="1:1" x14ac:dyDescent="0.3">
      <c r="A764" s="13"/>
    </row>
    <row r="765" spans="1:1" x14ac:dyDescent="0.3">
      <c r="A765" s="13"/>
    </row>
    <row r="766" spans="1:1" x14ac:dyDescent="0.3">
      <c r="A766" s="13"/>
    </row>
    <row r="767" spans="1:1" x14ac:dyDescent="0.3">
      <c r="A767" s="13"/>
    </row>
    <row r="768" spans="1:1" x14ac:dyDescent="0.3">
      <c r="A768" s="13"/>
    </row>
    <row r="769" spans="1:1" x14ac:dyDescent="0.3">
      <c r="A769" s="13"/>
    </row>
    <row r="770" spans="1:1" x14ac:dyDescent="0.3">
      <c r="A770" s="13"/>
    </row>
    <row r="771" spans="1:1" x14ac:dyDescent="0.3">
      <c r="A771" s="13"/>
    </row>
    <row r="772" spans="1:1" x14ac:dyDescent="0.3">
      <c r="A772" s="13"/>
    </row>
    <row r="773" spans="1:1" x14ac:dyDescent="0.3">
      <c r="A773" s="13"/>
    </row>
    <row r="774" spans="1:1" x14ac:dyDescent="0.3">
      <c r="A774" s="13"/>
    </row>
    <row r="775" spans="1:1" x14ac:dyDescent="0.3">
      <c r="A775" s="13"/>
    </row>
    <row r="776" spans="1:1" x14ac:dyDescent="0.3">
      <c r="A776" s="13"/>
    </row>
    <row r="777" spans="1:1" x14ac:dyDescent="0.3">
      <c r="A777" s="13"/>
    </row>
    <row r="778" spans="1:1" x14ac:dyDescent="0.3">
      <c r="A778" s="13"/>
    </row>
    <row r="779" spans="1:1" x14ac:dyDescent="0.3">
      <c r="A779" s="13"/>
    </row>
    <row r="780" spans="1:1" x14ac:dyDescent="0.3">
      <c r="A780" s="13"/>
    </row>
    <row r="781" spans="1:1" x14ac:dyDescent="0.3">
      <c r="A781" s="13"/>
    </row>
    <row r="782" spans="1:1" x14ac:dyDescent="0.3">
      <c r="A782" s="13"/>
    </row>
    <row r="783" spans="1:1" x14ac:dyDescent="0.3">
      <c r="A783" s="13"/>
    </row>
    <row r="784" spans="1:1" x14ac:dyDescent="0.3">
      <c r="A784" s="13"/>
    </row>
    <row r="785" spans="1:1" x14ac:dyDescent="0.3">
      <c r="A785" s="13"/>
    </row>
    <row r="786" spans="1:1" x14ac:dyDescent="0.3">
      <c r="A786" s="13"/>
    </row>
    <row r="787" spans="1:1" x14ac:dyDescent="0.3">
      <c r="A787" s="13"/>
    </row>
    <row r="788" spans="1:1" x14ac:dyDescent="0.3">
      <c r="A788" s="13"/>
    </row>
    <row r="789" spans="1:1" x14ac:dyDescent="0.3">
      <c r="A789" s="13"/>
    </row>
    <row r="790" spans="1:1" x14ac:dyDescent="0.3">
      <c r="A790" s="13"/>
    </row>
    <row r="791" spans="1:1" x14ac:dyDescent="0.3">
      <c r="A791" s="13"/>
    </row>
    <row r="792" spans="1:1" x14ac:dyDescent="0.3">
      <c r="A792" s="13"/>
    </row>
    <row r="793" spans="1:1" x14ac:dyDescent="0.3">
      <c r="A793" s="13"/>
    </row>
    <row r="794" spans="1:1" x14ac:dyDescent="0.3">
      <c r="A794" s="13"/>
    </row>
    <row r="795" spans="1:1" x14ac:dyDescent="0.3">
      <c r="A795" s="13"/>
    </row>
    <row r="796" spans="1:1" x14ac:dyDescent="0.3">
      <c r="A796" s="13"/>
    </row>
    <row r="797" spans="1:1" x14ac:dyDescent="0.3">
      <c r="A797" s="13"/>
    </row>
    <row r="798" spans="1:1" x14ac:dyDescent="0.3">
      <c r="A798" s="13"/>
    </row>
    <row r="799" spans="1:1" x14ac:dyDescent="0.3">
      <c r="A799" s="13"/>
    </row>
    <row r="800" spans="1:1" x14ac:dyDescent="0.3">
      <c r="A800" s="13"/>
    </row>
    <row r="801" spans="1:1" x14ac:dyDescent="0.3">
      <c r="A801" s="13"/>
    </row>
    <row r="802" spans="1:1" x14ac:dyDescent="0.3">
      <c r="A802" s="13"/>
    </row>
    <row r="803" spans="1:1" x14ac:dyDescent="0.3">
      <c r="A803" s="13"/>
    </row>
    <row r="804" spans="1:1" x14ac:dyDescent="0.3">
      <c r="A804" s="13"/>
    </row>
    <row r="805" spans="1:1" x14ac:dyDescent="0.3">
      <c r="A805" s="13"/>
    </row>
    <row r="806" spans="1:1" x14ac:dyDescent="0.3">
      <c r="A806" s="13"/>
    </row>
    <row r="807" spans="1:1" x14ac:dyDescent="0.3">
      <c r="A807" s="13"/>
    </row>
    <row r="808" spans="1:1" x14ac:dyDescent="0.3">
      <c r="A808" s="13"/>
    </row>
    <row r="809" spans="1:1" x14ac:dyDescent="0.3">
      <c r="A809" s="13"/>
    </row>
    <row r="810" spans="1:1" x14ac:dyDescent="0.3">
      <c r="A810" s="13"/>
    </row>
    <row r="811" spans="1:1" x14ac:dyDescent="0.3">
      <c r="A811" s="13"/>
    </row>
    <row r="812" spans="1:1" x14ac:dyDescent="0.3">
      <c r="A812" s="13"/>
    </row>
    <row r="813" spans="1:1" x14ac:dyDescent="0.3">
      <c r="A813" s="13"/>
    </row>
    <row r="814" spans="1:1" x14ac:dyDescent="0.3">
      <c r="A814" s="13"/>
    </row>
    <row r="815" spans="1:1" x14ac:dyDescent="0.3">
      <c r="A815" s="13"/>
    </row>
    <row r="816" spans="1:1" x14ac:dyDescent="0.3">
      <c r="A816" s="13"/>
    </row>
    <row r="817" spans="1:1" x14ac:dyDescent="0.3">
      <c r="A817" s="13"/>
    </row>
    <row r="818" spans="1:1" x14ac:dyDescent="0.3">
      <c r="A818" s="13"/>
    </row>
    <row r="819" spans="1:1" x14ac:dyDescent="0.3">
      <c r="A819" s="13"/>
    </row>
    <row r="820" spans="1:1" x14ac:dyDescent="0.3">
      <c r="A820" s="13"/>
    </row>
    <row r="821" spans="1:1" x14ac:dyDescent="0.3">
      <c r="A821" s="13"/>
    </row>
    <row r="822" spans="1:1" x14ac:dyDescent="0.3">
      <c r="A822" s="13"/>
    </row>
    <row r="823" spans="1:1" x14ac:dyDescent="0.3">
      <c r="A823" s="13"/>
    </row>
    <row r="824" spans="1:1" x14ac:dyDescent="0.3">
      <c r="A824" s="13"/>
    </row>
    <row r="825" spans="1:1" x14ac:dyDescent="0.3">
      <c r="A825" s="13"/>
    </row>
    <row r="826" spans="1:1" x14ac:dyDescent="0.3">
      <c r="A826" s="13"/>
    </row>
    <row r="827" spans="1:1" x14ac:dyDescent="0.3">
      <c r="A827" s="13"/>
    </row>
    <row r="828" spans="1:1" x14ac:dyDescent="0.3">
      <c r="A828" s="13"/>
    </row>
    <row r="829" spans="1:1" x14ac:dyDescent="0.3">
      <c r="A829" s="13"/>
    </row>
    <row r="830" spans="1:1" x14ac:dyDescent="0.3">
      <c r="A830" s="13"/>
    </row>
    <row r="831" spans="1:1" x14ac:dyDescent="0.3">
      <c r="A831" s="13"/>
    </row>
    <row r="832" spans="1:1" x14ac:dyDescent="0.3">
      <c r="A832" s="13"/>
    </row>
    <row r="833" spans="1:1" x14ac:dyDescent="0.3">
      <c r="A833" s="13"/>
    </row>
    <row r="834" spans="1:1" x14ac:dyDescent="0.3">
      <c r="A834" s="13"/>
    </row>
    <row r="835" spans="1:1" x14ac:dyDescent="0.3">
      <c r="A835" s="13"/>
    </row>
    <row r="836" spans="1:1" x14ac:dyDescent="0.3">
      <c r="A836" s="13"/>
    </row>
    <row r="837" spans="1:1" x14ac:dyDescent="0.3">
      <c r="A837" s="13"/>
    </row>
    <row r="838" spans="1:1" x14ac:dyDescent="0.3">
      <c r="A838" s="13"/>
    </row>
    <row r="839" spans="1:1" x14ac:dyDescent="0.3">
      <c r="A839" s="13"/>
    </row>
    <row r="840" spans="1:1" x14ac:dyDescent="0.3">
      <c r="A840" s="13"/>
    </row>
    <row r="841" spans="1:1" x14ac:dyDescent="0.3">
      <c r="A841" s="13"/>
    </row>
    <row r="842" spans="1:1" x14ac:dyDescent="0.3">
      <c r="A842" s="13"/>
    </row>
    <row r="843" spans="1:1" x14ac:dyDescent="0.3">
      <c r="A843" s="13"/>
    </row>
    <row r="844" spans="1:1" x14ac:dyDescent="0.3">
      <c r="A844" s="13"/>
    </row>
    <row r="845" spans="1:1" x14ac:dyDescent="0.3">
      <c r="A845" s="13"/>
    </row>
    <row r="846" spans="1:1" x14ac:dyDescent="0.3">
      <c r="A846" s="13"/>
    </row>
    <row r="847" spans="1:1" x14ac:dyDescent="0.3">
      <c r="A847" s="13"/>
    </row>
    <row r="848" spans="1:1" x14ac:dyDescent="0.3">
      <c r="A848" s="13"/>
    </row>
    <row r="849" spans="1:1" x14ac:dyDescent="0.3">
      <c r="A849" s="13"/>
    </row>
    <row r="850" spans="1:1" x14ac:dyDescent="0.3">
      <c r="A850" s="13"/>
    </row>
    <row r="851" spans="1:1" x14ac:dyDescent="0.3">
      <c r="A851" s="13"/>
    </row>
    <row r="852" spans="1:1" x14ac:dyDescent="0.3">
      <c r="A852" s="13"/>
    </row>
    <row r="853" spans="1:1" x14ac:dyDescent="0.3">
      <c r="A853" s="13"/>
    </row>
    <row r="854" spans="1:1" x14ac:dyDescent="0.3">
      <c r="A854" s="13"/>
    </row>
    <row r="855" spans="1:1" x14ac:dyDescent="0.3">
      <c r="A855" s="13"/>
    </row>
    <row r="856" spans="1:1" x14ac:dyDescent="0.3">
      <c r="A856" s="13"/>
    </row>
    <row r="857" spans="1:1" x14ac:dyDescent="0.3">
      <c r="A857" s="13"/>
    </row>
    <row r="858" spans="1:1" x14ac:dyDescent="0.3">
      <c r="A858" s="13"/>
    </row>
    <row r="859" spans="1:1" x14ac:dyDescent="0.3">
      <c r="A859" s="13"/>
    </row>
    <row r="860" spans="1:1" x14ac:dyDescent="0.3">
      <c r="A860" s="13"/>
    </row>
    <row r="861" spans="1:1" x14ac:dyDescent="0.3">
      <c r="A861" s="13"/>
    </row>
    <row r="862" spans="1:1" x14ac:dyDescent="0.3">
      <c r="A862" s="13"/>
    </row>
    <row r="863" spans="1:1" x14ac:dyDescent="0.3">
      <c r="A863" s="13"/>
    </row>
    <row r="864" spans="1:1" x14ac:dyDescent="0.3">
      <c r="A864" s="13"/>
    </row>
    <row r="865" spans="1:1" x14ac:dyDescent="0.3">
      <c r="A865" s="13"/>
    </row>
    <row r="866" spans="1:1" x14ac:dyDescent="0.3">
      <c r="A866" s="13"/>
    </row>
    <row r="867" spans="1:1" x14ac:dyDescent="0.3">
      <c r="A867" s="13"/>
    </row>
    <row r="868" spans="1:1" x14ac:dyDescent="0.3">
      <c r="A868" s="13"/>
    </row>
    <row r="869" spans="1:1" x14ac:dyDescent="0.3">
      <c r="A869" s="13"/>
    </row>
    <row r="870" spans="1:1" x14ac:dyDescent="0.3">
      <c r="A870" s="13"/>
    </row>
    <row r="871" spans="1:1" x14ac:dyDescent="0.3">
      <c r="A871" s="13"/>
    </row>
    <row r="872" spans="1:1" x14ac:dyDescent="0.3">
      <c r="A872" s="13"/>
    </row>
    <row r="873" spans="1:1" x14ac:dyDescent="0.3">
      <c r="A873" s="13"/>
    </row>
    <row r="874" spans="1:1" x14ac:dyDescent="0.3">
      <c r="A874" s="13"/>
    </row>
    <row r="875" spans="1:1" x14ac:dyDescent="0.3">
      <c r="A875" s="13"/>
    </row>
    <row r="876" spans="1:1" x14ac:dyDescent="0.3">
      <c r="A876" s="13"/>
    </row>
    <row r="877" spans="1:1" x14ac:dyDescent="0.3">
      <c r="A877" s="13"/>
    </row>
    <row r="878" spans="1:1" x14ac:dyDescent="0.3">
      <c r="A878" s="13"/>
    </row>
    <row r="879" spans="1:1" x14ac:dyDescent="0.3">
      <c r="A879" s="13"/>
    </row>
    <row r="880" spans="1:1" x14ac:dyDescent="0.3">
      <c r="A880" s="13"/>
    </row>
    <row r="881" spans="1:1" x14ac:dyDescent="0.3">
      <c r="A881" s="13"/>
    </row>
    <row r="882" spans="1:1" x14ac:dyDescent="0.3">
      <c r="A882" s="13"/>
    </row>
    <row r="883" spans="1:1" x14ac:dyDescent="0.3">
      <c r="A883" s="13"/>
    </row>
    <row r="884" spans="1:1" x14ac:dyDescent="0.3">
      <c r="A884" s="13"/>
    </row>
    <row r="885" spans="1:1" x14ac:dyDescent="0.3">
      <c r="A885" s="13"/>
    </row>
    <row r="886" spans="1:1" x14ac:dyDescent="0.3">
      <c r="A886" s="13"/>
    </row>
    <row r="887" spans="1:1" x14ac:dyDescent="0.3">
      <c r="A887" s="13"/>
    </row>
    <row r="888" spans="1:1" x14ac:dyDescent="0.3">
      <c r="A888" s="13"/>
    </row>
    <row r="889" spans="1:1" x14ac:dyDescent="0.3">
      <c r="A889" s="13"/>
    </row>
    <row r="890" spans="1:1" x14ac:dyDescent="0.3">
      <c r="A890" s="13"/>
    </row>
    <row r="891" spans="1:1" x14ac:dyDescent="0.3">
      <c r="A891" s="13"/>
    </row>
    <row r="892" spans="1:1" x14ac:dyDescent="0.3">
      <c r="A892" s="13"/>
    </row>
    <row r="893" spans="1:1" x14ac:dyDescent="0.3">
      <c r="A893" s="13"/>
    </row>
    <row r="894" spans="1:1" x14ac:dyDescent="0.3">
      <c r="A894" s="13"/>
    </row>
    <row r="895" spans="1:1" x14ac:dyDescent="0.3">
      <c r="A895" s="13"/>
    </row>
    <row r="896" spans="1:1" x14ac:dyDescent="0.3">
      <c r="A896" s="13"/>
    </row>
    <row r="897" spans="1:1" x14ac:dyDescent="0.3">
      <c r="A897" s="13"/>
    </row>
    <row r="898" spans="1:1" x14ac:dyDescent="0.3">
      <c r="A898" s="13"/>
    </row>
    <row r="899" spans="1:1" x14ac:dyDescent="0.3">
      <c r="A899" s="13"/>
    </row>
    <row r="900" spans="1:1" x14ac:dyDescent="0.3">
      <c r="A900" s="13"/>
    </row>
    <row r="901" spans="1:1" x14ac:dyDescent="0.3">
      <c r="A901" s="13"/>
    </row>
    <row r="902" spans="1:1" x14ac:dyDescent="0.3">
      <c r="A902" s="13"/>
    </row>
    <row r="903" spans="1:1" x14ac:dyDescent="0.3">
      <c r="A903" s="13"/>
    </row>
    <row r="904" spans="1:1" x14ac:dyDescent="0.3">
      <c r="A904" s="13"/>
    </row>
    <row r="905" spans="1:1" x14ac:dyDescent="0.3">
      <c r="A905" s="13"/>
    </row>
    <row r="906" spans="1:1" x14ac:dyDescent="0.3">
      <c r="A906" s="13"/>
    </row>
    <row r="907" spans="1:1" x14ac:dyDescent="0.3">
      <c r="A907" s="13"/>
    </row>
    <row r="908" spans="1:1" x14ac:dyDescent="0.3">
      <c r="A908" s="13"/>
    </row>
    <row r="909" spans="1:1" x14ac:dyDescent="0.3">
      <c r="A909" s="13"/>
    </row>
    <row r="910" spans="1:1" x14ac:dyDescent="0.3">
      <c r="A910" s="13"/>
    </row>
    <row r="911" spans="1:1" x14ac:dyDescent="0.3">
      <c r="A911" s="13"/>
    </row>
    <row r="912" spans="1:1" x14ac:dyDescent="0.3">
      <c r="A912" s="13"/>
    </row>
    <row r="913" spans="1:1" x14ac:dyDescent="0.3">
      <c r="A913" s="13"/>
    </row>
    <row r="914" spans="1:1" x14ac:dyDescent="0.3">
      <c r="A914" s="13"/>
    </row>
    <row r="915" spans="1:1" x14ac:dyDescent="0.3">
      <c r="A915" s="13"/>
    </row>
    <row r="916" spans="1:1" x14ac:dyDescent="0.3">
      <c r="A916" s="13"/>
    </row>
    <row r="917" spans="1:1" x14ac:dyDescent="0.3">
      <c r="A917" s="13"/>
    </row>
    <row r="918" spans="1:1" x14ac:dyDescent="0.3">
      <c r="A918" s="13"/>
    </row>
    <row r="919" spans="1:1" x14ac:dyDescent="0.3">
      <c r="A919" s="13"/>
    </row>
    <row r="920" spans="1:1" x14ac:dyDescent="0.3">
      <c r="A920" s="13"/>
    </row>
    <row r="921" spans="1:1" x14ac:dyDescent="0.3">
      <c r="A921" s="13"/>
    </row>
    <row r="922" spans="1:1" x14ac:dyDescent="0.3">
      <c r="A922" s="13"/>
    </row>
    <row r="923" spans="1:1" x14ac:dyDescent="0.3">
      <c r="A923" s="13"/>
    </row>
    <row r="924" spans="1:1" x14ac:dyDescent="0.3">
      <c r="A924" s="13"/>
    </row>
    <row r="925" spans="1:1" x14ac:dyDescent="0.3">
      <c r="A925" s="13"/>
    </row>
    <row r="926" spans="1:1" x14ac:dyDescent="0.3">
      <c r="A926" s="13"/>
    </row>
    <row r="927" spans="1:1" x14ac:dyDescent="0.3">
      <c r="A927" s="13"/>
    </row>
    <row r="928" spans="1:1" x14ac:dyDescent="0.3">
      <c r="A928" s="13"/>
    </row>
    <row r="929" spans="1:1" x14ac:dyDescent="0.3">
      <c r="A929" s="13"/>
    </row>
    <row r="930" spans="1:1" x14ac:dyDescent="0.3">
      <c r="A930" s="13"/>
    </row>
    <row r="931" spans="1:1" x14ac:dyDescent="0.3">
      <c r="A931" s="13"/>
    </row>
    <row r="932" spans="1:1" x14ac:dyDescent="0.3">
      <c r="A932" s="13"/>
    </row>
    <row r="933" spans="1:1" x14ac:dyDescent="0.3">
      <c r="A933" s="13"/>
    </row>
    <row r="934" spans="1:1" x14ac:dyDescent="0.3">
      <c r="A934" s="13"/>
    </row>
    <row r="935" spans="1:1" x14ac:dyDescent="0.3">
      <c r="A935" s="13"/>
    </row>
    <row r="936" spans="1:1" x14ac:dyDescent="0.3">
      <c r="A936" s="13"/>
    </row>
    <row r="937" spans="1:1" x14ac:dyDescent="0.3">
      <c r="A937" s="13"/>
    </row>
    <row r="938" spans="1:1" x14ac:dyDescent="0.3">
      <c r="A938" s="13"/>
    </row>
    <row r="939" spans="1:1" x14ac:dyDescent="0.3">
      <c r="A939" s="13"/>
    </row>
    <row r="940" spans="1:1" x14ac:dyDescent="0.3">
      <c r="A940" s="13"/>
    </row>
    <row r="941" spans="1:1" x14ac:dyDescent="0.3">
      <c r="A941" s="13"/>
    </row>
    <row r="942" spans="1:1" x14ac:dyDescent="0.3">
      <c r="A942" s="13"/>
    </row>
    <row r="943" spans="1:1" x14ac:dyDescent="0.3">
      <c r="A943" s="13"/>
    </row>
    <row r="944" spans="1:1" x14ac:dyDescent="0.3">
      <c r="A944" s="13"/>
    </row>
    <row r="945" spans="1:1" x14ac:dyDescent="0.3">
      <c r="A945" s="13"/>
    </row>
    <row r="946" spans="1:1" x14ac:dyDescent="0.3">
      <c r="A946" s="13"/>
    </row>
    <row r="947" spans="1:1" x14ac:dyDescent="0.3">
      <c r="A947" s="13"/>
    </row>
    <row r="948" spans="1:1" x14ac:dyDescent="0.3">
      <c r="A948" s="13"/>
    </row>
    <row r="949" spans="1:1" x14ac:dyDescent="0.3">
      <c r="A949" s="13"/>
    </row>
    <row r="950" spans="1:1" x14ac:dyDescent="0.3">
      <c r="A950" s="13"/>
    </row>
    <row r="951" spans="1:1" x14ac:dyDescent="0.3">
      <c r="A951" s="13"/>
    </row>
    <row r="952" spans="1:1" x14ac:dyDescent="0.3">
      <c r="A952" s="13"/>
    </row>
    <row r="953" spans="1:1" x14ac:dyDescent="0.3">
      <c r="A953" s="13"/>
    </row>
    <row r="954" spans="1:1" x14ac:dyDescent="0.3">
      <c r="A954" s="13"/>
    </row>
    <row r="955" spans="1:1" x14ac:dyDescent="0.3">
      <c r="A955" s="13"/>
    </row>
    <row r="956" spans="1:1" x14ac:dyDescent="0.3">
      <c r="A956" s="13"/>
    </row>
    <row r="957" spans="1:1" x14ac:dyDescent="0.3">
      <c r="A957" s="13"/>
    </row>
    <row r="958" spans="1:1" x14ac:dyDescent="0.3">
      <c r="A958" s="13"/>
    </row>
    <row r="959" spans="1:1" x14ac:dyDescent="0.3">
      <c r="A959" s="13"/>
    </row>
    <row r="960" spans="1:1" x14ac:dyDescent="0.3">
      <c r="A960" s="13"/>
    </row>
    <row r="961" spans="1:1" x14ac:dyDescent="0.3">
      <c r="A961" s="13"/>
    </row>
    <row r="962" spans="1:1" x14ac:dyDescent="0.3">
      <c r="A962" s="13"/>
    </row>
    <row r="963" spans="1:1" x14ac:dyDescent="0.3">
      <c r="A963" s="13"/>
    </row>
    <row r="964" spans="1:1" x14ac:dyDescent="0.3">
      <c r="A964" s="13"/>
    </row>
    <row r="965" spans="1:1" x14ac:dyDescent="0.3">
      <c r="A965" s="13"/>
    </row>
    <row r="966" spans="1:1" x14ac:dyDescent="0.3">
      <c r="A966" s="13"/>
    </row>
    <row r="967" spans="1:1" x14ac:dyDescent="0.3">
      <c r="A967" s="13"/>
    </row>
    <row r="968" spans="1:1" x14ac:dyDescent="0.3">
      <c r="A968" s="13"/>
    </row>
    <row r="969" spans="1:1" x14ac:dyDescent="0.3">
      <c r="A969" s="13"/>
    </row>
    <row r="970" spans="1:1" x14ac:dyDescent="0.3">
      <c r="A970" s="13"/>
    </row>
    <row r="971" spans="1:1" x14ac:dyDescent="0.3">
      <c r="A971" s="13"/>
    </row>
    <row r="972" spans="1:1" x14ac:dyDescent="0.3">
      <c r="A972" s="13"/>
    </row>
    <row r="973" spans="1:1" x14ac:dyDescent="0.3">
      <c r="A973" s="13"/>
    </row>
    <row r="974" spans="1:1" x14ac:dyDescent="0.3">
      <c r="A974" s="13"/>
    </row>
    <row r="975" spans="1:1" x14ac:dyDescent="0.3">
      <c r="A975" s="13"/>
    </row>
    <row r="976" spans="1:1" x14ac:dyDescent="0.3">
      <c r="A976" s="13"/>
    </row>
    <row r="977" spans="1:1" x14ac:dyDescent="0.3">
      <c r="A977" s="13"/>
    </row>
    <row r="978" spans="1:1" x14ac:dyDescent="0.3">
      <c r="A978" s="13"/>
    </row>
    <row r="979" spans="1:1" x14ac:dyDescent="0.3">
      <c r="A979" s="13"/>
    </row>
    <row r="980" spans="1:1" x14ac:dyDescent="0.3">
      <c r="A980" s="13"/>
    </row>
    <row r="981" spans="1:1" x14ac:dyDescent="0.3">
      <c r="A981" s="13"/>
    </row>
    <row r="982" spans="1:1" x14ac:dyDescent="0.3">
      <c r="A982" s="13"/>
    </row>
    <row r="983" spans="1:1" x14ac:dyDescent="0.3">
      <c r="A983" s="13"/>
    </row>
    <row r="984" spans="1:1" x14ac:dyDescent="0.3">
      <c r="A984" s="13"/>
    </row>
    <row r="985" spans="1:1" x14ac:dyDescent="0.3">
      <c r="A985" s="13"/>
    </row>
    <row r="986" spans="1:1" x14ac:dyDescent="0.3">
      <c r="A986" s="13"/>
    </row>
    <row r="987" spans="1:1" x14ac:dyDescent="0.3">
      <c r="A987" s="13"/>
    </row>
    <row r="988" spans="1:1" x14ac:dyDescent="0.3">
      <c r="A988" s="13"/>
    </row>
    <row r="989" spans="1:1" x14ac:dyDescent="0.3">
      <c r="A989" s="13"/>
    </row>
    <row r="990" spans="1:1" x14ac:dyDescent="0.3">
      <c r="A990" s="13"/>
    </row>
    <row r="991" spans="1:1" x14ac:dyDescent="0.3">
      <c r="A991" s="13"/>
    </row>
    <row r="992" spans="1:1" x14ac:dyDescent="0.3">
      <c r="A992" s="13"/>
    </row>
    <row r="993" spans="1:1" x14ac:dyDescent="0.3">
      <c r="A993" s="13"/>
    </row>
    <row r="994" spans="1:1" x14ac:dyDescent="0.3">
      <c r="A994" s="13"/>
    </row>
    <row r="995" spans="1:1" x14ac:dyDescent="0.3">
      <c r="A995" s="13"/>
    </row>
    <row r="996" spans="1:1" x14ac:dyDescent="0.3">
      <c r="A996" s="13"/>
    </row>
    <row r="997" spans="1:1" x14ac:dyDescent="0.3">
      <c r="A997" s="13"/>
    </row>
    <row r="998" spans="1:1" x14ac:dyDescent="0.3">
      <c r="A998" s="13"/>
    </row>
    <row r="999" spans="1:1" x14ac:dyDescent="0.3">
      <c r="A999" s="13"/>
    </row>
    <row r="1000" spans="1:1" x14ac:dyDescent="0.3">
      <c r="A1000" s="1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5"/>
  <dimension ref="A1:X1000"/>
  <sheetViews>
    <sheetView topLeftCell="C1" workbookViewId="0"/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/>
      <c r="F2" s="7"/>
      <c r="G2" s="7"/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/>
      <c r="F3" s="7"/>
      <c r="G3" s="7"/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/>
      <c r="F4" s="7"/>
      <c r="G4" s="7"/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/>
      <c r="F5" s="7"/>
      <c r="G5" s="7"/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/>
      <c r="F6" s="7"/>
      <c r="G6" s="7"/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/>
      <c r="F7" s="7"/>
      <c r="G7" s="7"/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/>
      <c r="F8" s="7"/>
      <c r="G8" s="7"/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/>
      <c r="F9" s="7"/>
      <c r="G9" s="7"/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/>
      <c r="F10" s="7"/>
      <c r="G10" s="7"/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/>
      <c r="F11" s="7"/>
      <c r="G11" s="7"/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/>
      <c r="F12" s="7"/>
      <c r="G12" s="7"/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/>
      <c r="F13" s="7"/>
      <c r="G13" s="7"/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/>
      <c r="F14" s="7"/>
      <c r="G14" s="7"/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/>
      <c r="F15" s="7"/>
      <c r="G15" s="7"/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/>
      <c r="F16" s="7"/>
      <c r="G16" s="7"/>
    </row>
    <row r="17" spans="1:7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/>
      <c r="F17" s="7"/>
      <c r="G17" s="7"/>
    </row>
    <row r="18" spans="1:7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/>
      <c r="F18" s="7"/>
      <c r="G18" s="7"/>
    </row>
    <row r="19" spans="1:7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/>
      <c r="F19" s="7"/>
      <c r="G19" s="7"/>
    </row>
    <row r="20" spans="1:7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/>
      <c r="F20" s="7"/>
      <c r="G20" s="7"/>
    </row>
    <row r="21" spans="1:7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/>
      <c r="F21" s="7"/>
      <c r="G21" s="7"/>
    </row>
    <row r="22" spans="1:7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/>
      <c r="F22" s="7"/>
      <c r="G22" s="7"/>
    </row>
    <row r="23" spans="1:7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/>
      <c r="F23" s="7"/>
      <c r="G23" s="7"/>
    </row>
    <row r="24" spans="1:7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/>
      <c r="F24" s="7"/>
      <c r="G24" s="7"/>
    </row>
    <row r="25" spans="1:7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/>
      <c r="F25" s="7"/>
      <c r="G25" s="7"/>
    </row>
    <row r="26" spans="1:7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/>
      <c r="F26" s="7"/>
      <c r="G26" s="7"/>
    </row>
    <row r="27" spans="1:7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/>
      <c r="F27" s="7"/>
      <c r="G27" s="7"/>
    </row>
    <row r="28" spans="1:7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/>
      <c r="F28" s="7"/>
      <c r="G28" s="7"/>
    </row>
    <row r="29" spans="1:7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/>
      <c r="F29" s="7"/>
      <c r="G29" s="7"/>
    </row>
    <row r="30" spans="1:7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/>
      <c r="F30" s="7"/>
      <c r="G30" s="7"/>
    </row>
    <row r="31" spans="1:7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/>
      <c r="F31" s="7"/>
      <c r="G31" s="7"/>
    </row>
    <row r="32" spans="1:7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/>
      <c r="F32" s="7"/>
      <c r="G32" s="7"/>
    </row>
    <row r="33" spans="1:7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/>
      <c r="F33" s="7"/>
      <c r="G33" s="7"/>
    </row>
    <row r="34" spans="1:7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/>
      <c r="F34" s="7"/>
      <c r="G34" s="7"/>
    </row>
    <row r="35" spans="1:7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/>
      <c r="F35" s="7"/>
      <c r="G35" s="7"/>
    </row>
    <row r="36" spans="1:7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/>
      <c r="F36" s="7"/>
      <c r="G36" s="7"/>
    </row>
    <row r="37" spans="1:7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/>
      <c r="F37" s="7"/>
      <c r="G37" s="7"/>
    </row>
    <row r="38" spans="1:7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/>
      <c r="F38" s="7"/>
      <c r="G38" s="7"/>
    </row>
    <row r="39" spans="1:7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/>
      <c r="F39" s="7"/>
      <c r="G39" s="7"/>
    </row>
    <row r="40" spans="1:7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/>
      <c r="F40" s="7"/>
      <c r="G40" s="7"/>
    </row>
    <row r="41" spans="1:7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/>
      <c r="F41" s="7"/>
      <c r="G41" s="7"/>
    </row>
    <row r="42" spans="1:7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/>
      <c r="F42" s="7"/>
      <c r="G42" s="7"/>
    </row>
    <row r="43" spans="1:7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/>
      <c r="F43" s="7"/>
      <c r="G43" s="7"/>
    </row>
    <row r="44" spans="1:7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/>
      <c r="F44" s="7"/>
      <c r="G44" s="7"/>
    </row>
    <row r="45" spans="1:7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/>
      <c r="F45" s="7"/>
      <c r="G45" s="7"/>
    </row>
    <row r="46" spans="1:7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/>
      <c r="F46" s="7"/>
      <c r="G46" s="7"/>
    </row>
    <row r="47" spans="1:7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/>
      <c r="F47" s="7"/>
      <c r="G47" s="7"/>
    </row>
    <row r="48" spans="1:7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/>
      <c r="F48" s="7"/>
      <c r="G48" s="7"/>
    </row>
    <row r="49" spans="1:7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/>
      <c r="F49" s="7"/>
      <c r="G49" s="7"/>
    </row>
    <row r="50" spans="1:7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/>
      <c r="F50" s="7"/>
      <c r="G50" s="7"/>
    </row>
    <row r="51" spans="1:7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/>
      <c r="F51" s="7"/>
      <c r="G51" s="7"/>
    </row>
    <row r="52" spans="1:7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/>
      <c r="F52" s="7"/>
      <c r="G52" s="7"/>
    </row>
    <row r="53" spans="1:7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/>
      <c r="F53" s="7"/>
      <c r="G53" s="7"/>
    </row>
    <row r="54" spans="1:7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/>
      <c r="F54" s="7"/>
      <c r="G54" s="7"/>
    </row>
    <row r="55" spans="1:7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/>
      <c r="F55" s="7"/>
      <c r="G55" s="7"/>
    </row>
    <row r="56" spans="1:7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/>
      <c r="F56" s="7"/>
      <c r="G56" s="7"/>
    </row>
    <row r="57" spans="1:7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/>
      <c r="F57" s="7"/>
      <c r="G57" s="7"/>
    </row>
    <row r="58" spans="1:7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/>
      <c r="F58" s="7"/>
      <c r="G58" s="7"/>
    </row>
    <row r="59" spans="1:7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/>
      <c r="F59" s="7"/>
      <c r="G59" s="7"/>
    </row>
    <row r="60" spans="1:7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/>
      <c r="F60" s="7"/>
      <c r="G60" s="7"/>
    </row>
    <row r="61" spans="1:7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/>
      <c r="F61" s="7"/>
      <c r="G61" s="7"/>
    </row>
    <row r="62" spans="1:7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/>
      <c r="F62" s="7"/>
      <c r="G62" s="7"/>
    </row>
    <row r="63" spans="1:7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/>
      <c r="F63" s="7"/>
      <c r="G63" s="7"/>
    </row>
    <row r="64" spans="1:7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/>
      <c r="F64" s="7"/>
      <c r="G64" s="7"/>
    </row>
    <row r="65" spans="1:7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/>
      <c r="F65" s="7"/>
      <c r="G65" s="7"/>
    </row>
    <row r="66" spans="1:7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/>
      <c r="F66" s="7"/>
      <c r="G66" s="7"/>
    </row>
    <row r="67" spans="1:7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/>
      <c r="F67" s="7"/>
      <c r="G67" s="7"/>
    </row>
    <row r="68" spans="1:7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/>
      <c r="F68" s="7"/>
      <c r="G68" s="7"/>
    </row>
    <row r="69" spans="1:7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/>
      <c r="F69" s="7"/>
      <c r="G69" s="7"/>
    </row>
    <row r="70" spans="1:7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/>
      <c r="F70" s="7"/>
      <c r="G70" s="7"/>
    </row>
    <row r="71" spans="1:7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/>
      <c r="F71" s="7"/>
      <c r="G71" s="7"/>
    </row>
    <row r="72" spans="1:7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/>
      <c r="F72" s="7"/>
      <c r="G72" s="7"/>
    </row>
    <row r="73" spans="1:7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/>
      <c r="F73" s="7"/>
      <c r="G73" s="7"/>
    </row>
    <row r="74" spans="1:7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/>
      <c r="F74" s="7"/>
      <c r="G74" s="7"/>
    </row>
    <row r="75" spans="1:7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/>
      <c r="F75" s="7"/>
      <c r="G75" s="7"/>
    </row>
    <row r="76" spans="1:7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/>
      <c r="F76" s="7"/>
      <c r="G76" s="7"/>
    </row>
    <row r="77" spans="1:7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/>
      <c r="F77" s="7"/>
      <c r="G77" s="7"/>
    </row>
    <row r="78" spans="1:7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/>
      <c r="F78" s="7"/>
      <c r="G78" s="7"/>
    </row>
    <row r="79" spans="1:7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/>
      <c r="F79" s="7"/>
      <c r="G79" s="7"/>
    </row>
    <row r="80" spans="1:7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/>
      <c r="F80" s="7"/>
      <c r="G80" s="7"/>
    </row>
    <row r="81" spans="1:7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/>
      <c r="F81" s="7"/>
      <c r="G81" s="7"/>
    </row>
    <row r="82" spans="1:7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/>
      <c r="F82" s="7"/>
      <c r="G82" s="7"/>
    </row>
    <row r="83" spans="1:7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/>
      <c r="F83" s="7"/>
      <c r="G83" s="7"/>
    </row>
    <row r="84" spans="1:7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/>
      <c r="F84" s="7"/>
      <c r="G84" s="7"/>
    </row>
    <row r="85" spans="1:7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/>
      <c r="F85" s="7"/>
      <c r="G85" s="7"/>
    </row>
    <row r="86" spans="1:7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/>
      <c r="F86" s="7"/>
      <c r="G86" s="7"/>
    </row>
    <row r="87" spans="1:7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/>
      <c r="F87" s="7"/>
      <c r="G87" s="7"/>
    </row>
    <row r="88" spans="1:7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/>
      <c r="F88" s="7"/>
      <c r="G88" s="7"/>
    </row>
    <row r="89" spans="1:7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/>
      <c r="F89" s="7"/>
      <c r="G89" s="7"/>
    </row>
    <row r="90" spans="1:7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/>
      <c r="F90" s="7"/>
      <c r="G90" s="7"/>
    </row>
    <row r="91" spans="1:7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/>
      <c r="F91" s="7"/>
      <c r="G91" s="7"/>
    </row>
    <row r="92" spans="1:7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/>
      <c r="F92" s="7"/>
      <c r="G92" s="7"/>
    </row>
    <row r="93" spans="1:7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/>
      <c r="F93" s="7"/>
      <c r="G93" s="7"/>
    </row>
    <row r="94" spans="1:7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/>
      <c r="F94" s="7"/>
      <c r="G94" s="7"/>
    </row>
    <row r="95" spans="1:7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/>
      <c r="F95" s="7"/>
      <c r="G95" s="7"/>
    </row>
    <row r="96" spans="1:7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/>
      <c r="F96" s="7"/>
      <c r="G96" s="7"/>
    </row>
    <row r="97" spans="1:7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/>
      <c r="F97" s="7"/>
      <c r="G97" s="7"/>
    </row>
    <row r="98" spans="1:7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/>
      <c r="F98" s="7"/>
      <c r="G98" s="7"/>
    </row>
    <row r="99" spans="1:7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/>
      <c r="F99" s="7"/>
      <c r="G99" s="7"/>
    </row>
    <row r="100" spans="1:7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/>
      <c r="F100" s="7"/>
      <c r="G100" s="7"/>
    </row>
    <row r="101" spans="1:7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/>
      <c r="F101" s="7"/>
      <c r="G101" s="7"/>
    </row>
    <row r="102" spans="1:7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/>
      <c r="F102" s="7"/>
      <c r="G102" s="7"/>
    </row>
    <row r="103" spans="1:7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/>
      <c r="F103" s="7"/>
      <c r="G103" s="7"/>
    </row>
    <row r="104" spans="1:7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/>
      <c r="F104" s="7"/>
      <c r="G104" s="7"/>
    </row>
    <row r="105" spans="1:7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/>
      <c r="F105" s="7"/>
      <c r="G105" s="7"/>
    </row>
    <row r="106" spans="1:7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/>
      <c r="F106" s="7"/>
      <c r="G106" s="7"/>
    </row>
    <row r="107" spans="1:7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/>
      <c r="F107" s="7"/>
      <c r="G107" s="7"/>
    </row>
    <row r="108" spans="1:7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/>
      <c r="F108" s="7"/>
      <c r="G108" s="7"/>
    </row>
    <row r="109" spans="1:7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/>
      <c r="F109" s="7"/>
      <c r="G109" s="7"/>
    </row>
    <row r="110" spans="1:7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/>
      <c r="F110" s="7"/>
      <c r="G110" s="7"/>
    </row>
    <row r="111" spans="1:7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/>
      <c r="F111" s="7"/>
      <c r="G111" s="7"/>
    </row>
    <row r="112" spans="1:7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/>
      <c r="F112" s="7"/>
      <c r="G112" s="7"/>
    </row>
    <row r="113" spans="1:7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/>
      <c r="F113" s="7"/>
      <c r="G113" s="7"/>
    </row>
    <row r="114" spans="1:7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/>
      <c r="F114" s="7"/>
      <c r="G114" s="7"/>
    </row>
    <row r="115" spans="1:7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/>
      <c r="F115" s="7"/>
      <c r="G115" s="7"/>
    </row>
    <row r="116" spans="1:7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/>
      <c r="F116" s="7"/>
      <c r="G116" s="7"/>
    </row>
    <row r="117" spans="1:7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/>
      <c r="F117" s="7"/>
      <c r="G117" s="7"/>
    </row>
    <row r="118" spans="1:7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/>
      <c r="F118" s="7"/>
      <c r="G118" s="7"/>
    </row>
    <row r="119" spans="1:7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/>
      <c r="F119" s="7"/>
      <c r="G119" s="7"/>
    </row>
    <row r="120" spans="1:7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/>
      <c r="F120" s="7"/>
      <c r="G120" s="7"/>
    </row>
    <row r="121" spans="1:7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/>
      <c r="F121" s="7"/>
      <c r="G121" s="7"/>
    </row>
    <row r="122" spans="1:7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/>
      <c r="F122" s="7"/>
      <c r="G122" s="7"/>
    </row>
    <row r="123" spans="1:7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/>
      <c r="F123" s="7"/>
      <c r="G123" s="7"/>
    </row>
    <row r="124" spans="1:7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/>
      <c r="F124" s="7"/>
      <c r="G124" s="7"/>
    </row>
    <row r="125" spans="1:7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/>
      <c r="F125" s="7"/>
      <c r="G125" s="7"/>
    </row>
    <row r="126" spans="1:7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/>
      <c r="F126" s="7"/>
      <c r="G126" s="7"/>
    </row>
    <row r="127" spans="1:7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/>
      <c r="F127" s="7"/>
      <c r="G127" s="7"/>
    </row>
    <row r="128" spans="1:7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/>
      <c r="F128" s="7"/>
      <c r="G128" s="7"/>
    </row>
    <row r="129" spans="1:7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/>
      <c r="F129" s="7"/>
      <c r="G129" s="7"/>
    </row>
    <row r="130" spans="1:7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/>
      <c r="F130" s="7"/>
      <c r="G130" s="7"/>
    </row>
    <row r="131" spans="1:7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/>
      <c r="F131" s="7"/>
      <c r="G131" s="7"/>
    </row>
    <row r="132" spans="1:7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/>
      <c r="F132" s="7"/>
      <c r="G132" s="7"/>
    </row>
    <row r="133" spans="1:7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/>
      <c r="F133" s="7"/>
      <c r="G133" s="7"/>
    </row>
    <row r="134" spans="1:7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/>
      <c r="F134" s="7"/>
      <c r="G134" s="7"/>
    </row>
    <row r="135" spans="1:7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/>
      <c r="F135" s="7"/>
      <c r="G135" s="7"/>
    </row>
    <row r="136" spans="1:7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/>
      <c r="F136" s="7"/>
      <c r="G136" s="7"/>
    </row>
    <row r="137" spans="1:7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/>
      <c r="F137" s="7"/>
      <c r="G137" s="7"/>
    </row>
    <row r="138" spans="1:7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/>
      <c r="F138" s="7"/>
      <c r="G138" s="7"/>
    </row>
    <row r="139" spans="1:7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/>
      <c r="F139" s="7"/>
      <c r="G139" s="7"/>
    </row>
    <row r="140" spans="1:7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/>
      <c r="F140" s="7"/>
      <c r="G140" s="7"/>
    </row>
    <row r="141" spans="1:7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/>
      <c r="F141" s="7"/>
      <c r="G141" s="7"/>
    </row>
    <row r="142" spans="1:7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/>
      <c r="F142" s="7"/>
      <c r="G142" s="7"/>
    </row>
    <row r="143" spans="1:7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/>
      <c r="F143" s="7"/>
      <c r="G143" s="7"/>
    </row>
    <row r="144" spans="1:7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/>
      <c r="F144" s="7"/>
      <c r="G144" s="7"/>
    </row>
    <row r="145" spans="1:7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/>
      <c r="F145" s="7"/>
      <c r="G145" s="7"/>
    </row>
    <row r="146" spans="1:7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/>
      <c r="F146" s="7"/>
      <c r="G146" s="7"/>
    </row>
    <row r="147" spans="1:7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/>
      <c r="F147" s="7"/>
      <c r="G147" s="7"/>
    </row>
    <row r="148" spans="1:7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/>
      <c r="F148" s="7"/>
      <c r="G148" s="7"/>
    </row>
    <row r="149" spans="1:7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/>
      <c r="F149" s="7"/>
      <c r="G149" s="7"/>
    </row>
    <row r="150" spans="1:7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/>
      <c r="F150" s="7"/>
      <c r="G150" s="7"/>
    </row>
    <row r="151" spans="1:7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/>
      <c r="F151" s="7"/>
      <c r="G151" s="7"/>
    </row>
    <row r="152" spans="1:7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/>
      <c r="F152" s="7"/>
      <c r="G152" s="7"/>
    </row>
    <row r="153" spans="1:7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/>
      <c r="F153" s="7"/>
      <c r="G153" s="7"/>
    </row>
    <row r="154" spans="1:7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/>
      <c r="F154" s="7"/>
      <c r="G154" s="7"/>
    </row>
    <row r="155" spans="1:7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/>
      <c r="F155" s="7"/>
      <c r="G155" s="7"/>
    </row>
    <row r="156" spans="1:7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/>
      <c r="F156" s="7"/>
      <c r="G156" s="7"/>
    </row>
    <row r="157" spans="1:7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/>
      <c r="F157" s="7"/>
      <c r="G157" s="7"/>
    </row>
    <row r="158" spans="1:7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/>
      <c r="F158" s="7"/>
      <c r="G158" s="7"/>
    </row>
    <row r="159" spans="1:7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/>
      <c r="F159" s="7"/>
      <c r="G159" s="7"/>
    </row>
    <row r="160" spans="1:7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/>
      <c r="F160" s="7"/>
      <c r="G160" s="7"/>
    </row>
    <row r="161" spans="1:7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/>
      <c r="F161" s="7"/>
      <c r="G161" s="7"/>
    </row>
    <row r="162" spans="1:7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/>
      <c r="F162" s="7"/>
      <c r="G162" s="7"/>
    </row>
    <row r="163" spans="1:7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/>
      <c r="F163" s="7"/>
      <c r="G163" s="7"/>
    </row>
    <row r="164" spans="1:7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/>
      <c r="F164" s="7"/>
      <c r="G164" s="7"/>
    </row>
    <row r="165" spans="1:7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/>
      <c r="F165" s="7"/>
      <c r="G165" s="7"/>
    </row>
    <row r="166" spans="1:7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/>
      <c r="F166" s="7"/>
      <c r="G166" s="7"/>
    </row>
    <row r="167" spans="1:7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/>
      <c r="F167" s="7"/>
      <c r="G167" s="7"/>
    </row>
    <row r="168" spans="1:7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/>
      <c r="F168" s="7"/>
      <c r="G168" s="7"/>
    </row>
    <row r="169" spans="1:7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/>
      <c r="F169" s="7"/>
      <c r="G169" s="7"/>
    </row>
    <row r="170" spans="1:7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/>
      <c r="F170" s="7"/>
      <c r="G170" s="7"/>
    </row>
    <row r="171" spans="1:7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/>
      <c r="F171" s="7"/>
      <c r="G171" s="7"/>
    </row>
    <row r="172" spans="1:7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/>
      <c r="F172" s="7"/>
      <c r="G172" s="7"/>
    </row>
    <row r="173" spans="1:7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/>
      <c r="F173" s="7"/>
      <c r="G173" s="7"/>
    </row>
    <row r="174" spans="1:7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/>
      <c r="F174" s="7"/>
      <c r="G174" s="7"/>
    </row>
    <row r="175" spans="1:7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/>
      <c r="F175" s="7"/>
      <c r="G175" s="7"/>
    </row>
    <row r="176" spans="1:7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/>
      <c r="F176" s="7"/>
      <c r="G176" s="7"/>
    </row>
    <row r="177" spans="1:7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/>
      <c r="F177" s="7"/>
      <c r="G177" s="7"/>
    </row>
    <row r="178" spans="1:7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/>
      <c r="F178" s="7"/>
      <c r="G178" s="7"/>
    </row>
    <row r="179" spans="1:7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/>
      <c r="F179" s="7"/>
      <c r="G179" s="7"/>
    </row>
    <row r="180" spans="1:7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/>
      <c r="F180" s="7"/>
      <c r="G180" s="7"/>
    </row>
    <row r="181" spans="1:7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/>
      <c r="F181" s="7"/>
      <c r="G181" s="7"/>
    </row>
    <row r="182" spans="1:7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/>
      <c r="F182" s="7"/>
      <c r="G182" s="7"/>
    </row>
    <row r="183" spans="1:7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/>
      <c r="F183" s="7"/>
      <c r="G183" s="7"/>
    </row>
    <row r="184" spans="1:7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/>
      <c r="F184" s="7"/>
      <c r="G184" s="7"/>
    </row>
    <row r="185" spans="1:7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/>
      <c r="F185" s="7"/>
      <c r="G185" s="7"/>
    </row>
    <row r="186" spans="1:7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/>
      <c r="F186" s="7"/>
      <c r="G186" s="7"/>
    </row>
    <row r="187" spans="1:7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/>
      <c r="F187" s="7"/>
      <c r="G187" s="7"/>
    </row>
    <row r="188" spans="1:7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/>
      <c r="F188" s="7"/>
      <c r="G188" s="7"/>
    </row>
    <row r="189" spans="1:7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/>
      <c r="F189" s="7"/>
      <c r="G189" s="7"/>
    </row>
    <row r="190" spans="1:7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/>
      <c r="F190" s="7"/>
      <c r="G190" s="7"/>
    </row>
    <row r="191" spans="1:7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/>
      <c r="F191" s="7"/>
      <c r="G191" s="7"/>
    </row>
    <row r="192" spans="1:7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/>
      <c r="F192" s="7"/>
      <c r="G192" s="7"/>
    </row>
    <row r="193" spans="1:7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/>
      <c r="F193" s="7"/>
      <c r="G193" s="7"/>
    </row>
    <row r="194" spans="1:7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/>
      <c r="F194" s="7"/>
      <c r="G194" s="7"/>
    </row>
    <row r="195" spans="1:7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/>
      <c r="F195" s="7"/>
      <c r="G195" s="7"/>
    </row>
    <row r="196" spans="1:7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/>
      <c r="F196" s="7"/>
      <c r="G196" s="7"/>
    </row>
    <row r="197" spans="1:7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/>
      <c r="F197" s="7"/>
      <c r="G197" s="7"/>
    </row>
    <row r="198" spans="1:7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/>
      <c r="F198" s="7"/>
      <c r="G198" s="7"/>
    </row>
    <row r="199" spans="1:7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/>
      <c r="F199" s="7"/>
      <c r="G199" s="7"/>
    </row>
    <row r="200" spans="1:7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/>
      <c r="F200" s="7"/>
      <c r="G200" s="7"/>
    </row>
    <row r="201" spans="1:7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/>
      <c r="F201" s="7"/>
      <c r="G201" s="7"/>
    </row>
    <row r="202" spans="1:7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/>
      <c r="F202" s="7"/>
      <c r="G202" s="7"/>
    </row>
    <row r="203" spans="1:7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/>
      <c r="F203" s="7"/>
      <c r="G203" s="7"/>
    </row>
    <row r="204" spans="1:7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/>
      <c r="F204" s="7"/>
      <c r="G204" s="7"/>
    </row>
    <row r="205" spans="1:7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/>
      <c r="F205" s="7"/>
      <c r="G205" s="7"/>
    </row>
    <row r="206" spans="1:7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/>
      <c r="F206" s="7"/>
      <c r="G206" s="7"/>
    </row>
    <row r="207" spans="1:7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/>
      <c r="F207" s="7"/>
      <c r="G207" s="7"/>
    </row>
    <row r="208" spans="1:7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/>
      <c r="F208" s="7"/>
      <c r="G208" s="7"/>
    </row>
    <row r="209" spans="1:7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/>
      <c r="F209" s="7"/>
      <c r="G209" s="7"/>
    </row>
    <row r="210" spans="1:7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/>
      <c r="F210" s="7"/>
      <c r="G210" s="7"/>
    </row>
    <row r="211" spans="1:7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/>
      <c r="F211" s="7"/>
      <c r="G211" s="7"/>
    </row>
    <row r="212" spans="1:7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/>
      <c r="F212" s="7"/>
      <c r="G212" s="7"/>
    </row>
    <row r="213" spans="1:7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/>
      <c r="F213" s="7"/>
      <c r="G213" s="7"/>
    </row>
    <row r="214" spans="1:7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/>
      <c r="F214" s="7"/>
      <c r="G214" s="7"/>
    </row>
    <row r="215" spans="1:7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/>
      <c r="F215" s="7"/>
      <c r="G215" s="7"/>
    </row>
    <row r="216" spans="1:7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/>
      <c r="F216" s="7"/>
      <c r="G216" s="7"/>
    </row>
    <row r="217" spans="1:7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/>
      <c r="F217" s="7"/>
      <c r="G217" s="7"/>
    </row>
    <row r="218" spans="1:7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/>
      <c r="F218" s="7"/>
      <c r="G218" s="7"/>
    </row>
    <row r="219" spans="1:7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/>
      <c r="F219" s="7"/>
      <c r="G219" s="7"/>
    </row>
    <row r="220" spans="1:7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/>
      <c r="F220" s="7"/>
      <c r="G220" s="7"/>
    </row>
    <row r="221" spans="1:7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/>
      <c r="F221" s="7"/>
      <c r="G221" s="7"/>
    </row>
    <row r="222" spans="1:7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/>
      <c r="F222" s="7"/>
      <c r="G222" s="7"/>
    </row>
    <row r="223" spans="1:7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/>
      <c r="F223" s="7"/>
      <c r="G223" s="7"/>
    </row>
    <row r="224" spans="1:7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/>
      <c r="F224" s="7"/>
      <c r="G224" s="7"/>
    </row>
    <row r="225" spans="1:7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/>
      <c r="F225" s="7"/>
      <c r="G225" s="7"/>
    </row>
    <row r="226" spans="1:7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/>
      <c r="F226" s="7"/>
      <c r="G226" s="7"/>
    </row>
    <row r="227" spans="1:7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/>
      <c r="F227" s="7"/>
      <c r="G227" s="7"/>
    </row>
    <row r="228" spans="1:7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/>
      <c r="F228" s="7"/>
      <c r="G228" s="7"/>
    </row>
    <row r="229" spans="1:7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/>
      <c r="F229" s="7"/>
      <c r="G229" s="7"/>
    </row>
    <row r="230" spans="1:7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/>
      <c r="F230" s="7"/>
      <c r="G230" s="7"/>
    </row>
    <row r="231" spans="1:7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/>
      <c r="F231" s="7"/>
      <c r="G231" s="7"/>
    </row>
    <row r="232" spans="1:7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/>
      <c r="F232" s="7"/>
      <c r="G232" s="7"/>
    </row>
    <row r="233" spans="1:7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/>
      <c r="F233" s="7"/>
      <c r="G233" s="7"/>
    </row>
    <row r="234" spans="1:7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/>
      <c r="F234" s="7"/>
      <c r="G234" s="7"/>
    </row>
    <row r="235" spans="1:7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/>
      <c r="F235" s="7"/>
      <c r="G235" s="7"/>
    </row>
    <row r="236" spans="1:7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/>
      <c r="F236" s="7"/>
      <c r="G236" s="7"/>
    </row>
    <row r="237" spans="1:7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/>
      <c r="F237" s="7"/>
      <c r="G237" s="7"/>
    </row>
    <row r="238" spans="1:7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/>
      <c r="F238" s="7"/>
      <c r="G238" s="7"/>
    </row>
    <row r="239" spans="1:7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/>
      <c r="F239" s="7"/>
      <c r="G239" s="7"/>
    </row>
    <row r="240" spans="1:7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/>
      <c r="F240" s="7"/>
      <c r="G240" s="7"/>
    </row>
    <row r="241" spans="1:7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/>
      <c r="F241" s="7"/>
      <c r="G241" s="7"/>
    </row>
    <row r="242" spans="1:7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/>
      <c r="F242" s="7"/>
      <c r="G242" s="7"/>
    </row>
    <row r="243" spans="1:7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/>
      <c r="F243" s="7"/>
      <c r="G243" s="7"/>
    </row>
    <row r="244" spans="1:7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/>
      <c r="F244" s="7"/>
      <c r="G244" s="7"/>
    </row>
    <row r="245" spans="1:7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/>
      <c r="F245" s="7"/>
      <c r="G245" s="7"/>
    </row>
    <row r="246" spans="1:7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/>
      <c r="F246" s="7"/>
      <c r="G246" s="7"/>
    </row>
    <row r="247" spans="1:7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/>
      <c r="F247" s="7"/>
      <c r="G247" s="7"/>
    </row>
    <row r="248" spans="1:7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/>
      <c r="F248" s="7"/>
      <c r="G248" s="7"/>
    </row>
    <row r="249" spans="1:7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/>
      <c r="F249" s="7"/>
      <c r="G249" s="7"/>
    </row>
    <row r="250" spans="1:7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/>
      <c r="F250" s="7"/>
      <c r="G250" s="7"/>
    </row>
    <row r="251" spans="1:7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/>
      <c r="F251" s="7"/>
      <c r="G251" s="7"/>
    </row>
    <row r="252" spans="1:7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/>
      <c r="F252" s="7"/>
      <c r="G252" s="7"/>
    </row>
    <row r="253" spans="1:7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/>
      <c r="F253" s="7"/>
      <c r="G253" s="7"/>
    </row>
    <row r="254" spans="1:7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/>
      <c r="F254" s="7"/>
      <c r="G254" s="7"/>
    </row>
    <row r="255" spans="1:7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/>
      <c r="F255" s="7"/>
      <c r="G255" s="7"/>
    </row>
    <row r="256" spans="1:7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/>
      <c r="F256" s="7"/>
      <c r="G256" s="7"/>
    </row>
    <row r="257" spans="1:7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/>
      <c r="F257" s="7"/>
      <c r="G257" s="7"/>
    </row>
    <row r="258" spans="1:7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/>
      <c r="F258" s="7"/>
      <c r="G258" s="7"/>
    </row>
    <row r="259" spans="1:7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/>
      <c r="F259" s="7"/>
      <c r="G259" s="7"/>
    </row>
    <row r="260" spans="1:7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/>
      <c r="F260" s="7"/>
      <c r="G260" s="7"/>
    </row>
    <row r="261" spans="1:7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/>
      <c r="F261" s="7"/>
      <c r="G261" s="7"/>
    </row>
    <row r="262" spans="1:7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/>
      <c r="F262" s="7"/>
      <c r="G262" s="7"/>
    </row>
    <row r="263" spans="1:7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/>
      <c r="F263" s="7"/>
      <c r="G263" s="7"/>
    </row>
    <row r="264" spans="1:7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/>
      <c r="F264" s="7"/>
      <c r="G264" s="7"/>
    </row>
    <row r="265" spans="1:7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/>
      <c r="F265" s="7"/>
      <c r="G265" s="7"/>
    </row>
    <row r="266" spans="1:7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/>
      <c r="F266" s="7"/>
      <c r="G266" s="7"/>
    </row>
    <row r="267" spans="1:7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/>
      <c r="F267" s="7"/>
      <c r="G267" s="7"/>
    </row>
    <row r="268" spans="1:7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/>
      <c r="F268" s="7"/>
      <c r="G268" s="7"/>
    </row>
    <row r="269" spans="1:7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/>
      <c r="F269" s="7"/>
      <c r="G269" s="7"/>
    </row>
    <row r="270" spans="1:7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/>
      <c r="F270" s="7"/>
      <c r="G270" s="7"/>
    </row>
    <row r="271" spans="1:7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/>
      <c r="F271" s="7"/>
      <c r="G271" s="7"/>
    </row>
    <row r="272" spans="1:7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/>
      <c r="F272" s="7"/>
      <c r="G272" s="7"/>
    </row>
    <row r="273" spans="1:7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/>
      <c r="F273" s="7"/>
      <c r="G273" s="7"/>
    </row>
    <row r="274" spans="1:7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/>
      <c r="F274" s="7"/>
      <c r="G274" s="7"/>
    </row>
    <row r="275" spans="1:7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/>
      <c r="F275" s="7"/>
      <c r="G275" s="7"/>
    </row>
    <row r="276" spans="1:7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/>
      <c r="F276" s="7"/>
      <c r="G276" s="7"/>
    </row>
    <row r="277" spans="1:7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/>
      <c r="F277" s="7"/>
      <c r="G277" s="7"/>
    </row>
    <row r="278" spans="1:7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/>
      <c r="F278" s="7"/>
      <c r="G278" s="7"/>
    </row>
    <row r="279" spans="1:7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/>
      <c r="F279" s="7"/>
      <c r="G279" s="7"/>
    </row>
    <row r="280" spans="1:7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/>
      <c r="F280" s="7"/>
      <c r="G280" s="7"/>
    </row>
    <row r="281" spans="1:7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/>
      <c r="F281" s="7"/>
      <c r="G281" s="7"/>
    </row>
    <row r="282" spans="1:7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/>
      <c r="F282" s="7"/>
      <c r="G282" s="7"/>
    </row>
    <row r="283" spans="1:7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/>
      <c r="F283" s="7"/>
      <c r="G283" s="7"/>
    </row>
    <row r="284" spans="1:7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/>
      <c r="F284" s="7"/>
      <c r="G284" s="7"/>
    </row>
    <row r="285" spans="1:7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/>
      <c r="F285" s="7"/>
      <c r="G285" s="7"/>
    </row>
    <row r="286" spans="1:7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/>
      <c r="F286" s="7"/>
      <c r="G286" s="7"/>
    </row>
    <row r="287" spans="1:7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/>
      <c r="F287" s="7"/>
      <c r="G287" s="7"/>
    </row>
    <row r="288" spans="1:7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/>
      <c r="F288" s="7"/>
      <c r="G288" s="7"/>
    </row>
    <row r="289" spans="1:7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/>
      <c r="F289" s="7"/>
      <c r="G289" s="7"/>
    </row>
    <row r="290" spans="1:7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/>
      <c r="F290" s="7"/>
      <c r="G290" s="7"/>
    </row>
    <row r="291" spans="1:7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/>
      <c r="F291" s="7"/>
      <c r="G291" s="7"/>
    </row>
    <row r="292" spans="1:7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/>
      <c r="F292" s="7"/>
      <c r="G292" s="7"/>
    </row>
    <row r="293" spans="1:7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/>
      <c r="F293" s="7"/>
      <c r="G293" s="7"/>
    </row>
    <row r="294" spans="1:7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/>
      <c r="F294" s="7"/>
      <c r="G294" s="7"/>
    </row>
    <row r="295" spans="1:7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/>
      <c r="F295" s="7"/>
      <c r="G295" s="7"/>
    </row>
    <row r="296" spans="1:7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/>
      <c r="F296" s="7"/>
      <c r="G296" s="7"/>
    </row>
    <row r="297" spans="1:7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/>
      <c r="F297" s="7"/>
      <c r="G297" s="7"/>
    </row>
    <row r="298" spans="1:7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/>
      <c r="F298" s="7"/>
      <c r="G298" s="7"/>
    </row>
    <row r="299" spans="1:7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/>
      <c r="F299" s="7"/>
      <c r="G299" s="7"/>
    </row>
    <row r="300" spans="1:7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/>
      <c r="F300" s="7"/>
      <c r="G300" s="7"/>
    </row>
    <row r="301" spans="1:7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/>
      <c r="F301" s="7"/>
      <c r="G301" s="7"/>
    </row>
    <row r="302" spans="1:7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/>
      <c r="F302" s="7"/>
      <c r="G302" s="7"/>
    </row>
    <row r="303" spans="1:7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/>
      <c r="F303" s="7"/>
      <c r="G303" s="7"/>
    </row>
    <row r="304" spans="1:7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/>
      <c r="F304" s="7"/>
      <c r="G304" s="7"/>
    </row>
    <row r="305" spans="1:7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/>
      <c r="F305" s="7"/>
      <c r="G305" s="7"/>
    </row>
    <row r="306" spans="1:7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/>
      <c r="F306" s="7"/>
      <c r="G306" s="7"/>
    </row>
    <row r="307" spans="1:7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/>
      <c r="F307" s="7"/>
      <c r="G307" s="7"/>
    </row>
    <row r="308" spans="1:7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/>
      <c r="F308" s="7"/>
      <c r="G308" s="7"/>
    </row>
    <row r="309" spans="1:7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/>
      <c r="F309" s="7"/>
      <c r="G309" s="7"/>
    </row>
    <row r="310" spans="1:7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/>
      <c r="F310" s="7"/>
      <c r="G310" s="7"/>
    </row>
    <row r="311" spans="1:7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/>
      <c r="F311" s="7"/>
      <c r="G311" s="7"/>
    </row>
    <row r="312" spans="1:7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/>
      <c r="F312" s="7"/>
      <c r="G312" s="7"/>
    </row>
    <row r="313" spans="1:7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/>
      <c r="F313" s="7"/>
      <c r="G313" s="7"/>
    </row>
    <row r="314" spans="1:7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/>
      <c r="F314" s="7"/>
      <c r="G314" s="7"/>
    </row>
    <row r="315" spans="1:7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/>
      <c r="F315" s="7"/>
      <c r="G315" s="7"/>
    </row>
    <row r="316" spans="1:7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/>
      <c r="F316" s="7"/>
      <c r="G316" s="7"/>
    </row>
    <row r="317" spans="1:7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/>
      <c r="F317" s="7"/>
      <c r="G317" s="7"/>
    </row>
    <row r="318" spans="1:7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/>
      <c r="F318" s="7"/>
      <c r="G318" s="7"/>
    </row>
    <row r="319" spans="1:7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/>
      <c r="F319" s="7"/>
      <c r="G319" s="7"/>
    </row>
    <row r="320" spans="1:7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/>
      <c r="F320" s="7"/>
      <c r="G320" s="7"/>
    </row>
    <row r="321" spans="1:7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/>
      <c r="F321" s="7"/>
      <c r="G321" s="7"/>
    </row>
    <row r="322" spans="1:7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/>
      <c r="F322" s="7"/>
      <c r="G322" s="7"/>
    </row>
    <row r="323" spans="1:7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/>
      <c r="F323" s="7"/>
      <c r="G323" s="7"/>
    </row>
    <row r="324" spans="1:7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/>
      <c r="F324" s="7"/>
      <c r="G324" s="7"/>
    </row>
    <row r="325" spans="1:7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/>
      <c r="F325" s="7"/>
      <c r="G325" s="7"/>
    </row>
    <row r="326" spans="1:7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/>
      <c r="F326" s="7"/>
      <c r="G326" s="7"/>
    </row>
    <row r="327" spans="1:7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/>
      <c r="F327" s="7"/>
      <c r="G327" s="7"/>
    </row>
    <row r="328" spans="1:7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/>
      <c r="F328" s="7"/>
      <c r="G328" s="7"/>
    </row>
    <row r="329" spans="1:7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/>
      <c r="F329" s="7"/>
      <c r="G329" s="7"/>
    </row>
    <row r="330" spans="1:7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/>
      <c r="F330" s="7"/>
      <c r="G330" s="7"/>
    </row>
    <row r="331" spans="1:7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/>
      <c r="F331" s="7"/>
      <c r="G331" s="7"/>
    </row>
    <row r="332" spans="1:7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/>
      <c r="F332" s="7"/>
      <c r="G332" s="7"/>
    </row>
    <row r="333" spans="1:7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/>
      <c r="F333" s="7"/>
      <c r="G333" s="7"/>
    </row>
    <row r="334" spans="1:7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/>
      <c r="F334" s="7"/>
      <c r="G334" s="7"/>
    </row>
    <row r="335" spans="1:7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/>
      <c r="F335" s="7"/>
      <c r="G335" s="7"/>
    </row>
    <row r="336" spans="1:7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/>
      <c r="F336" s="7"/>
      <c r="G336" s="7"/>
    </row>
    <row r="337" spans="1:7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/>
      <c r="F337" s="7"/>
      <c r="G337" s="7"/>
    </row>
    <row r="338" spans="1:7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/>
      <c r="F338" s="7"/>
      <c r="G338" s="7"/>
    </row>
    <row r="339" spans="1:7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/>
      <c r="F339" s="7"/>
      <c r="G339" s="7"/>
    </row>
    <row r="340" spans="1:7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/>
      <c r="F340" s="7"/>
      <c r="G340" s="7"/>
    </row>
    <row r="341" spans="1:7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/>
      <c r="F341" s="7"/>
      <c r="G341" s="7"/>
    </row>
    <row r="342" spans="1:7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/>
      <c r="F342" s="7"/>
      <c r="G342" s="7"/>
    </row>
    <row r="343" spans="1:7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/>
      <c r="F343" s="7"/>
      <c r="G343" s="7"/>
    </row>
    <row r="344" spans="1:7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/>
      <c r="F344" s="7"/>
      <c r="G344" s="7"/>
    </row>
    <row r="345" spans="1:7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/>
      <c r="F345" s="7"/>
      <c r="G345" s="7"/>
    </row>
    <row r="346" spans="1:7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/>
      <c r="F346" s="7"/>
      <c r="G346" s="7"/>
    </row>
    <row r="347" spans="1:7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/>
      <c r="F347" s="7"/>
      <c r="G347" s="7"/>
    </row>
    <row r="348" spans="1:7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/>
      <c r="F348" s="7"/>
      <c r="G348" s="7"/>
    </row>
    <row r="349" spans="1:7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/>
      <c r="F349" s="7"/>
      <c r="G349" s="7"/>
    </row>
    <row r="350" spans="1:7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/>
      <c r="F350" s="7"/>
      <c r="G350" s="7"/>
    </row>
    <row r="351" spans="1:7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/>
      <c r="F351" s="7"/>
      <c r="G351" s="7"/>
    </row>
    <row r="352" spans="1:7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/>
      <c r="F352" s="7"/>
      <c r="G352" s="7"/>
    </row>
    <row r="353" spans="1:7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/>
      <c r="F353" s="7"/>
      <c r="G353" s="7"/>
    </row>
    <row r="354" spans="1:7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/>
      <c r="F354" s="7"/>
      <c r="G354" s="7"/>
    </row>
    <row r="355" spans="1:7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/>
      <c r="F355" s="7"/>
      <c r="G355" s="7"/>
    </row>
    <row r="356" spans="1:7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/>
      <c r="F356" s="7"/>
      <c r="G356" s="7"/>
    </row>
    <row r="357" spans="1:7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/>
      <c r="F357" s="7"/>
      <c r="G357" s="7"/>
    </row>
    <row r="358" spans="1:7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/>
      <c r="F358" s="7"/>
      <c r="G358" s="7"/>
    </row>
    <row r="359" spans="1:7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/>
      <c r="F359" s="7"/>
      <c r="G359" s="7"/>
    </row>
    <row r="360" spans="1:7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/>
      <c r="F360" s="7"/>
      <c r="G360" s="7"/>
    </row>
    <row r="361" spans="1:7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/>
      <c r="F361" s="7"/>
      <c r="G361" s="7"/>
    </row>
    <row r="362" spans="1:7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/>
      <c r="F362" s="7"/>
      <c r="G362" s="7"/>
    </row>
    <row r="363" spans="1:7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/>
      <c r="F363" s="7"/>
      <c r="G363" s="7"/>
    </row>
    <row r="364" spans="1:7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/>
      <c r="F364" s="7"/>
      <c r="G364" s="7"/>
    </row>
    <row r="365" spans="1:7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/>
      <c r="F365" s="7"/>
      <c r="G365" s="7"/>
    </row>
    <row r="366" spans="1:7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/>
      <c r="F366" s="7"/>
      <c r="G366" s="7"/>
    </row>
    <row r="367" spans="1:7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/>
      <c r="F367" s="7"/>
      <c r="G367" s="7"/>
    </row>
    <row r="368" spans="1:7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/>
      <c r="F368" s="7"/>
      <c r="G368" s="7"/>
    </row>
    <row r="369" spans="1:7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/>
      <c r="F369" s="7"/>
      <c r="G369" s="7"/>
    </row>
    <row r="370" spans="1:7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/>
      <c r="F370" s="7"/>
      <c r="G370" s="7"/>
    </row>
    <row r="371" spans="1:7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/>
      <c r="F371" s="7"/>
      <c r="G371" s="7"/>
    </row>
    <row r="372" spans="1:7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/>
      <c r="F372" s="7"/>
      <c r="G372" s="7"/>
    </row>
    <row r="373" spans="1:7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/>
      <c r="F373" s="7"/>
      <c r="G373" s="7"/>
    </row>
    <row r="374" spans="1:7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/>
      <c r="F374" s="7"/>
      <c r="G374" s="7"/>
    </row>
    <row r="375" spans="1:7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/>
      <c r="F375" s="7"/>
      <c r="G375" s="7"/>
    </row>
    <row r="376" spans="1:7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/>
      <c r="F376" s="7"/>
      <c r="G376" s="7"/>
    </row>
    <row r="377" spans="1:7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/>
      <c r="F377" s="7"/>
      <c r="G377" s="7"/>
    </row>
    <row r="378" spans="1:7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/>
      <c r="F378" s="7"/>
      <c r="G378" s="7"/>
    </row>
    <row r="379" spans="1:7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/>
      <c r="F379" s="7"/>
      <c r="G379" s="7"/>
    </row>
    <row r="380" spans="1:7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/>
      <c r="F380" s="7"/>
      <c r="G380" s="7"/>
    </row>
    <row r="381" spans="1:7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/>
      <c r="F381" s="7"/>
      <c r="G381" s="7"/>
    </row>
    <row r="382" spans="1:7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/>
      <c r="F382" s="7"/>
      <c r="G382" s="7"/>
    </row>
    <row r="383" spans="1:7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/>
      <c r="F383" s="7"/>
      <c r="G383" s="7"/>
    </row>
    <row r="384" spans="1:7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/>
      <c r="F384" s="7"/>
      <c r="G384" s="7"/>
    </row>
    <row r="385" spans="1:7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/>
      <c r="F385" s="7"/>
      <c r="G385" s="7"/>
    </row>
    <row r="386" spans="1:7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/>
      <c r="F386" s="7"/>
      <c r="G386" s="7"/>
    </row>
    <row r="387" spans="1:7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/>
      <c r="F387" s="7"/>
      <c r="G387" s="7"/>
    </row>
    <row r="388" spans="1:7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/>
      <c r="F388" s="7"/>
      <c r="G388" s="7"/>
    </row>
    <row r="389" spans="1:7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/>
      <c r="F389" s="7"/>
      <c r="G389" s="7"/>
    </row>
    <row r="390" spans="1:7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/>
      <c r="F390" s="7"/>
      <c r="G390" s="7"/>
    </row>
    <row r="391" spans="1:7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/>
      <c r="F391" s="7"/>
      <c r="G391" s="7"/>
    </row>
    <row r="392" spans="1:7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/>
      <c r="F392" s="7"/>
      <c r="G392" s="7"/>
    </row>
    <row r="393" spans="1:7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/>
      <c r="F393" s="7"/>
      <c r="G393" s="7"/>
    </row>
    <row r="394" spans="1:7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/>
      <c r="F394" s="7"/>
      <c r="G394" s="7"/>
    </row>
    <row r="395" spans="1:7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/>
      <c r="F395" s="7"/>
      <c r="G395" s="7"/>
    </row>
    <row r="396" spans="1:7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/>
      <c r="F396" s="7"/>
      <c r="G396" s="7"/>
    </row>
    <row r="397" spans="1:7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/>
      <c r="F397" s="7"/>
      <c r="G397" s="7"/>
    </row>
    <row r="398" spans="1:7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/>
      <c r="F398" s="7"/>
      <c r="G398" s="7"/>
    </row>
    <row r="399" spans="1:7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/>
      <c r="F399" s="7"/>
      <c r="G399" s="7"/>
    </row>
    <row r="400" spans="1:7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/>
      <c r="F400" s="7"/>
      <c r="G400" s="7"/>
    </row>
    <row r="401" spans="1:7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/>
      <c r="F401" s="7"/>
      <c r="G401" s="7"/>
    </row>
    <row r="402" spans="1:7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/>
      <c r="F402" s="7"/>
      <c r="G402" s="7"/>
    </row>
    <row r="403" spans="1:7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/>
      <c r="F403" s="7"/>
      <c r="G403" s="7"/>
    </row>
    <row r="404" spans="1:7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/>
      <c r="F404" s="7"/>
      <c r="G404" s="7"/>
    </row>
    <row r="405" spans="1:7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/>
      <c r="F405" s="7"/>
      <c r="G405" s="7"/>
    </row>
    <row r="406" spans="1:7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/>
      <c r="F406" s="7"/>
      <c r="G406" s="7"/>
    </row>
    <row r="407" spans="1:7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/>
      <c r="F407" s="7"/>
      <c r="G407" s="7"/>
    </row>
    <row r="408" spans="1:7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/>
      <c r="F408" s="7"/>
      <c r="G408" s="7"/>
    </row>
    <row r="409" spans="1:7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/>
      <c r="F409" s="7"/>
      <c r="G409" s="7"/>
    </row>
    <row r="410" spans="1:7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/>
      <c r="F410" s="7"/>
      <c r="G410" s="7"/>
    </row>
    <row r="411" spans="1:7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/>
      <c r="F411" s="7"/>
      <c r="G411" s="7"/>
    </row>
    <row r="412" spans="1:7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/>
      <c r="F412" s="7"/>
      <c r="G412" s="7"/>
    </row>
    <row r="413" spans="1:7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/>
      <c r="F413" s="7"/>
      <c r="G413" s="7"/>
    </row>
    <row r="414" spans="1:7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/>
      <c r="F414" s="7"/>
      <c r="G414" s="7"/>
    </row>
    <row r="415" spans="1:7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/>
      <c r="F415" s="7"/>
      <c r="G415" s="7"/>
    </row>
    <row r="416" spans="1:7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/>
      <c r="F416" s="7"/>
      <c r="G416" s="7"/>
    </row>
    <row r="417" spans="1:7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/>
      <c r="F417" s="7"/>
      <c r="G417" s="7"/>
    </row>
    <row r="418" spans="1:7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/>
      <c r="F418" s="7"/>
      <c r="G418" s="7"/>
    </row>
    <row r="419" spans="1:7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/>
      <c r="F419" s="7"/>
      <c r="G419" s="7"/>
    </row>
    <row r="420" spans="1:7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/>
      <c r="F420" s="7"/>
      <c r="G420" s="7"/>
    </row>
    <row r="421" spans="1:7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/>
      <c r="F421" s="7"/>
      <c r="G421" s="7"/>
    </row>
    <row r="422" spans="1:7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/>
      <c r="F422" s="7"/>
      <c r="G422" s="7"/>
    </row>
    <row r="423" spans="1:7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/>
      <c r="F423" s="7"/>
      <c r="G423" s="7"/>
    </row>
    <row r="424" spans="1:7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/>
      <c r="F424" s="7"/>
      <c r="G424" s="7"/>
    </row>
    <row r="425" spans="1:7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/>
      <c r="F425" s="7"/>
      <c r="G425" s="7"/>
    </row>
    <row r="426" spans="1:7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/>
      <c r="F426" s="7"/>
      <c r="G426" s="7"/>
    </row>
    <row r="427" spans="1:7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/>
      <c r="F427" s="7"/>
      <c r="G427" s="7"/>
    </row>
    <row r="428" spans="1:7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/>
      <c r="F428" s="7"/>
      <c r="G428" s="7"/>
    </row>
    <row r="429" spans="1:7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/>
      <c r="F429" s="7"/>
      <c r="G429" s="7"/>
    </row>
    <row r="430" spans="1:7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/>
      <c r="F430" s="7"/>
      <c r="G430" s="7"/>
    </row>
    <row r="431" spans="1:7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/>
      <c r="F431" s="7"/>
      <c r="G431" s="7"/>
    </row>
    <row r="432" spans="1:7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/>
      <c r="F432" s="7"/>
      <c r="G432" s="7"/>
    </row>
    <row r="433" spans="1:7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/>
      <c r="F433" s="7"/>
      <c r="G433" s="7"/>
    </row>
    <row r="434" spans="1:7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/>
      <c r="F434" s="7"/>
      <c r="G434" s="7"/>
    </row>
    <row r="435" spans="1:7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/>
      <c r="F435" s="7"/>
      <c r="G435" s="7"/>
    </row>
    <row r="436" spans="1:7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/>
      <c r="F436" s="7"/>
      <c r="G436" s="7"/>
    </row>
    <row r="437" spans="1:7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/>
      <c r="F437" s="7"/>
      <c r="G437" s="7"/>
    </row>
    <row r="438" spans="1:7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/>
      <c r="F438" s="7"/>
      <c r="G438" s="7"/>
    </row>
    <row r="439" spans="1:7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/>
      <c r="F439" s="7"/>
      <c r="G439" s="7"/>
    </row>
    <row r="440" spans="1:7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/>
      <c r="F440" s="7"/>
      <c r="G440" s="7"/>
    </row>
    <row r="441" spans="1:7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/>
      <c r="F441" s="7"/>
      <c r="G441" s="7"/>
    </row>
    <row r="442" spans="1:7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/>
      <c r="F442" s="7"/>
      <c r="G442" s="7"/>
    </row>
    <row r="443" spans="1:7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/>
      <c r="F443" s="7"/>
      <c r="G443" s="7"/>
    </row>
    <row r="444" spans="1:7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/>
      <c r="F444" s="7"/>
      <c r="G444" s="7"/>
    </row>
    <row r="445" spans="1:7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/>
      <c r="F445" s="7"/>
      <c r="G445" s="7"/>
    </row>
    <row r="446" spans="1:7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/>
      <c r="F446" s="7"/>
      <c r="G446" s="7"/>
    </row>
    <row r="447" spans="1:7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/>
      <c r="F447" s="7"/>
      <c r="G447" s="7"/>
    </row>
    <row r="448" spans="1:7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/>
      <c r="F448" s="7"/>
      <c r="G448" s="7"/>
    </row>
    <row r="449" spans="1:7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/>
      <c r="F449" s="7"/>
      <c r="G449" s="7"/>
    </row>
    <row r="450" spans="1:7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/>
      <c r="F450" s="7"/>
      <c r="G450" s="7"/>
    </row>
    <row r="451" spans="1:7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/>
      <c r="F451" s="7"/>
      <c r="G451" s="7"/>
    </row>
    <row r="452" spans="1:7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/>
      <c r="F452" s="7"/>
      <c r="G452" s="7"/>
    </row>
    <row r="453" spans="1:7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/>
      <c r="F453" s="7"/>
      <c r="G453" s="7"/>
    </row>
    <row r="454" spans="1:7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/>
      <c r="F454" s="7"/>
      <c r="G454" s="7"/>
    </row>
    <row r="455" spans="1:7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/>
      <c r="F455" s="7"/>
      <c r="G455" s="7"/>
    </row>
    <row r="456" spans="1:7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/>
      <c r="F456" s="7"/>
      <c r="G456" s="7"/>
    </row>
    <row r="457" spans="1:7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/>
      <c r="F457" s="7"/>
      <c r="G457" s="7"/>
    </row>
    <row r="458" spans="1:7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/>
      <c r="F458" s="7"/>
      <c r="G458" s="7"/>
    </row>
    <row r="459" spans="1:7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/>
      <c r="F459" s="7"/>
      <c r="G459" s="7"/>
    </row>
    <row r="460" spans="1:7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/>
      <c r="F460" s="7"/>
      <c r="G460" s="7"/>
    </row>
    <row r="461" spans="1:7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/>
      <c r="F461" s="7"/>
      <c r="G461" s="7"/>
    </row>
    <row r="462" spans="1:7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/>
      <c r="F462" s="7"/>
      <c r="G462" s="7"/>
    </row>
    <row r="463" spans="1:7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/>
      <c r="F463" s="7"/>
      <c r="G463" s="7"/>
    </row>
    <row r="464" spans="1:7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/>
      <c r="F464" s="7"/>
      <c r="G464" s="7"/>
    </row>
    <row r="465" spans="1:7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/>
      <c r="F465" s="7"/>
      <c r="G465" s="7"/>
    </row>
    <row r="466" spans="1:7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/>
      <c r="F466" s="7"/>
      <c r="G466" s="7"/>
    </row>
    <row r="467" spans="1:7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/>
      <c r="F467" s="7"/>
      <c r="G467" s="7"/>
    </row>
    <row r="468" spans="1:7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/>
      <c r="F468" s="7"/>
      <c r="G468" s="7"/>
    </row>
    <row r="469" spans="1:7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/>
      <c r="F469" s="7"/>
      <c r="G469" s="7"/>
    </row>
    <row r="470" spans="1:7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/>
      <c r="F470" s="7"/>
      <c r="G470" s="7"/>
    </row>
    <row r="471" spans="1:7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/>
      <c r="F471" s="7"/>
      <c r="G471" s="7"/>
    </row>
    <row r="472" spans="1:7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/>
      <c r="F472" s="7"/>
      <c r="G472" s="7"/>
    </row>
    <row r="473" spans="1:7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/>
      <c r="F473" s="7"/>
      <c r="G473" s="7"/>
    </row>
    <row r="474" spans="1:7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/>
      <c r="F474" s="7"/>
      <c r="G474" s="7"/>
    </row>
    <row r="475" spans="1:7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/>
      <c r="F475" s="7"/>
      <c r="G475" s="7"/>
    </row>
    <row r="476" spans="1:7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/>
      <c r="F476" s="7"/>
      <c r="G476" s="7"/>
    </row>
    <row r="477" spans="1:7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/>
      <c r="F477" s="7"/>
      <c r="G477" s="7"/>
    </row>
    <row r="478" spans="1:7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/>
      <c r="F478" s="7"/>
      <c r="G478" s="7"/>
    </row>
    <row r="479" spans="1:7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/>
      <c r="F479" s="7"/>
      <c r="G479" s="7"/>
    </row>
    <row r="480" spans="1:7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/>
      <c r="F480" s="7"/>
      <c r="G480" s="7"/>
    </row>
    <row r="481" spans="1:7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/>
      <c r="F481" s="7"/>
      <c r="G481" s="7"/>
    </row>
    <row r="482" spans="1:7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/>
      <c r="F482" s="7"/>
      <c r="G482" s="7"/>
    </row>
    <row r="483" spans="1:7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/>
      <c r="F483" s="7"/>
      <c r="G483" s="7"/>
    </row>
    <row r="484" spans="1:7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/>
      <c r="F484" s="7"/>
      <c r="G484" s="7"/>
    </row>
    <row r="485" spans="1:7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/>
      <c r="F485" s="7"/>
      <c r="G485" s="7"/>
    </row>
    <row r="486" spans="1:7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/>
      <c r="F486" s="7"/>
      <c r="G486" s="7"/>
    </row>
    <row r="487" spans="1:7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/>
      <c r="F487" s="7"/>
      <c r="G487" s="7"/>
    </row>
    <row r="488" spans="1:7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/>
      <c r="F488" s="7"/>
      <c r="G488" s="7"/>
    </row>
    <row r="489" spans="1:7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/>
      <c r="F489" s="7"/>
      <c r="G489" s="7"/>
    </row>
    <row r="490" spans="1:7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/>
      <c r="F490" s="7"/>
      <c r="G490" s="7"/>
    </row>
    <row r="491" spans="1:7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/>
      <c r="F491" s="7"/>
      <c r="G491" s="7"/>
    </row>
    <row r="492" spans="1:7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/>
      <c r="F492" s="7"/>
      <c r="G492" s="7"/>
    </row>
    <row r="493" spans="1:7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/>
      <c r="F493" s="7"/>
      <c r="G493" s="7"/>
    </row>
    <row r="494" spans="1:7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/>
      <c r="F494" s="7"/>
      <c r="G494" s="7"/>
    </row>
    <row r="495" spans="1:7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/>
      <c r="F495" s="7"/>
      <c r="G495" s="7"/>
    </row>
    <row r="496" spans="1:7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/>
      <c r="F496" s="7"/>
      <c r="G496" s="7"/>
    </row>
    <row r="497" spans="1:7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/>
      <c r="F497" s="7"/>
      <c r="G497" s="7"/>
    </row>
    <row r="498" spans="1:7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/>
      <c r="F498" s="7"/>
      <c r="G498" s="7"/>
    </row>
    <row r="499" spans="1:7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/>
      <c r="F499" s="7"/>
      <c r="G499" s="7"/>
    </row>
    <row r="500" spans="1:7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/>
      <c r="F500" s="7"/>
      <c r="G500" s="7"/>
    </row>
    <row r="501" spans="1:7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/>
      <c r="F501" s="7"/>
      <c r="G501" s="7"/>
    </row>
    <row r="502" spans="1:7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/>
      <c r="F502" s="7"/>
      <c r="G502" s="7"/>
    </row>
    <row r="503" spans="1:7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/>
      <c r="F503" s="7"/>
      <c r="G503" s="7"/>
    </row>
    <row r="504" spans="1:7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/>
      <c r="F504" s="7"/>
      <c r="G504" s="7"/>
    </row>
    <row r="505" spans="1:7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/>
      <c r="F505" s="7"/>
      <c r="G505" s="7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6"/>
  <dimension ref="A1:E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B680A5-7912-4665-9B09-6805D51F93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Лист3</vt:lpstr>
      <vt:lpstr>Лист4</vt:lpstr>
      <vt:lpstr>Слияние1</vt:lpstr>
      <vt:lpstr>Лист2 (2)</vt:lpstr>
      <vt:lpstr>Лист1 (2)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Asemgul Ermuhanova</cp:lastModifiedBy>
  <dcterms:created xsi:type="dcterms:W3CDTF">2021-09-13T10:17:58Z</dcterms:created>
  <dcterms:modified xsi:type="dcterms:W3CDTF">2026-04-28T20:41:22Z</dcterms:modified>
</cp:coreProperties>
</file>